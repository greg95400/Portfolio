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codeName="ThisWorkbook" autoCompressPictures="0"/>
  <bookViews>
    <workbookView xWindow="0" yWindow="0" windowWidth="33600" windowHeight="20540"/>
  </bookViews>
  <sheets>
    <sheet name="BDD unique" sheetId="1" r:id="rId1"/>
    <sheet name="fiche de paye" sheetId="2" r:id="rId2"/>
    <sheet name="Vente" sheetId="3" r:id="rId3"/>
    <sheet name="Achat" sheetId="4" r:id="rId4"/>
    <sheet name="Stock" sheetId="5" r:id="rId5"/>
    <sheet name="Finance" sheetId="6" r:id="rId6"/>
    <sheet name="Décisionnel" sheetId="7" r:id="rId7"/>
  </sheets>
  <definedNames>
    <definedName name="entreprise">#REF!</definedName>
    <definedName name="Produit">#REF!</definedName>
    <definedName name="salarié">'BDD unique'!#REF!</definedName>
  </definedNames>
  <calcPr calcId="140001" iterateCount="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9" i="2" l="1"/>
  <c r="I36" i="2"/>
  <c r="K36" i="2"/>
  <c r="I6" i="2"/>
  <c r="D6" i="2"/>
  <c r="D5" i="2"/>
  <c r="D4" i="2"/>
  <c r="D3" i="2"/>
  <c r="Q3" i="7"/>
  <c r="D8" i="7"/>
  <c r="Q2" i="7"/>
  <c r="D7" i="7"/>
  <c r="Q1" i="7"/>
  <c r="D6" i="7"/>
  <c r="M2" i="7"/>
  <c r="D30" i="7"/>
  <c r="M3" i="7"/>
  <c r="D31" i="7"/>
  <c r="M4" i="7"/>
  <c r="D32" i="7"/>
  <c r="M1" i="7"/>
  <c r="D29" i="7"/>
  <c r="A8" i="5"/>
  <c r="D8" i="5"/>
  <c r="E54" i="7"/>
  <c r="C54" i="7"/>
  <c r="B54" i="7"/>
  <c r="D54" i="7"/>
  <c r="F54" i="7"/>
  <c r="A9" i="5"/>
  <c r="D9" i="5"/>
  <c r="E55" i="7"/>
  <c r="C55" i="7"/>
  <c r="B55" i="7"/>
  <c r="D55" i="7"/>
  <c r="F55" i="7"/>
  <c r="A10" i="5"/>
  <c r="D10" i="5"/>
  <c r="E56" i="7"/>
  <c r="C56" i="7"/>
  <c r="B56" i="7"/>
  <c r="D56" i="7"/>
  <c r="F56" i="7"/>
  <c r="A7" i="5"/>
  <c r="D7" i="5"/>
  <c r="E53" i="7"/>
  <c r="C53" i="7"/>
  <c r="B53" i="7"/>
  <c r="D53" i="7"/>
  <c r="F53" i="7"/>
  <c r="N2" i="7"/>
  <c r="O2" i="7"/>
  <c r="A54" i="7"/>
  <c r="N3" i="7"/>
  <c r="O3" i="7"/>
  <c r="A55" i="7"/>
  <c r="N4" i="7"/>
  <c r="O4" i="7"/>
  <c r="A56" i="7"/>
  <c r="N1" i="7"/>
  <c r="O1" i="7"/>
  <c r="A53" i="7"/>
  <c r="C29" i="7"/>
  <c r="C32" i="7"/>
  <c r="C31" i="7"/>
  <c r="S3" i="7"/>
  <c r="R3" i="7"/>
  <c r="S2" i="7"/>
  <c r="R2" i="7"/>
  <c r="S1" i="7"/>
  <c r="R1" i="7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F27" i="3"/>
  <c r="C7" i="6"/>
  <c r="E7" i="5"/>
  <c r="F7" i="5"/>
  <c r="G7" i="5"/>
  <c r="E8" i="5"/>
  <c r="F8" i="5"/>
  <c r="C8" i="5"/>
  <c r="G8" i="5"/>
  <c r="E9" i="5"/>
  <c r="F9" i="5"/>
  <c r="G9" i="5"/>
  <c r="E10" i="5"/>
  <c r="F10" i="5"/>
  <c r="C10" i="5"/>
  <c r="G10" i="5"/>
  <c r="G14" i="5"/>
  <c r="C9" i="6"/>
  <c r="C11" i="6"/>
  <c r="B6" i="6"/>
  <c r="D11" i="4"/>
  <c r="E11" i="4"/>
  <c r="D12" i="4"/>
  <c r="E12" i="4"/>
  <c r="D13" i="4"/>
  <c r="E13" i="4"/>
  <c r="D14" i="4"/>
  <c r="E14" i="4"/>
  <c r="D15" i="4"/>
  <c r="E15" i="4"/>
  <c r="D16" i="4"/>
  <c r="E16" i="4"/>
  <c r="E22" i="4"/>
  <c r="B8" i="6"/>
  <c r="B10" i="6"/>
  <c r="B11" i="6"/>
  <c r="B15" i="6"/>
  <c r="C9" i="5"/>
  <c r="C7" i="5"/>
  <c r="I5" i="2"/>
  <c r="N4" i="4"/>
  <c r="M4" i="4"/>
  <c r="S3" i="4"/>
  <c r="R3" i="4"/>
  <c r="Q3" i="4"/>
  <c r="N3" i="4"/>
  <c r="M3" i="4"/>
  <c r="S2" i="4"/>
  <c r="R2" i="4"/>
  <c r="Q2" i="4"/>
  <c r="N2" i="4"/>
  <c r="M2" i="4"/>
  <c r="S1" i="4"/>
  <c r="R1" i="4"/>
  <c r="Q1" i="4"/>
  <c r="N1" i="4"/>
  <c r="M1" i="4"/>
  <c r="Q2" i="3"/>
  <c r="R2" i="3"/>
  <c r="S2" i="3"/>
  <c r="Q3" i="3"/>
  <c r="R3" i="3"/>
  <c r="S3" i="3"/>
  <c r="S1" i="3"/>
  <c r="R1" i="3"/>
  <c r="Q1" i="3"/>
  <c r="N1" i="3"/>
  <c r="N2" i="3"/>
  <c r="N3" i="3"/>
  <c r="N4" i="3"/>
  <c r="M2" i="3"/>
  <c r="M3" i="3"/>
  <c r="M4" i="3"/>
  <c r="M1" i="3"/>
  <c r="B7" i="5"/>
  <c r="B8" i="5"/>
  <c r="B9" i="5"/>
  <c r="B10" i="5"/>
  <c r="I4" i="2"/>
  <c r="F30" i="2"/>
  <c r="H30" i="2"/>
  <c r="C30" i="7"/>
  <c r="T3" i="7"/>
  <c r="C8" i="7"/>
  <c r="T1" i="7"/>
  <c r="C6" i="7"/>
  <c r="T2" i="7"/>
  <c r="C7" i="7"/>
  <c r="E21" i="4"/>
  <c r="F26" i="3"/>
  <c r="F16" i="2"/>
  <c r="H16" i="2"/>
  <c r="F20" i="2"/>
  <c r="H20" i="2"/>
  <c r="I24" i="2"/>
  <c r="K24" i="2"/>
  <c r="I35" i="2"/>
  <c r="K35" i="2"/>
  <c r="F15" i="2"/>
  <c r="H15" i="2"/>
  <c r="I19" i="2"/>
  <c r="K19" i="2"/>
  <c r="I34" i="2"/>
  <c r="K34" i="2"/>
  <c r="F17" i="2"/>
  <c r="H17" i="2"/>
  <c r="F22" i="2"/>
  <c r="H22" i="2"/>
  <c r="I25" i="2"/>
  <c r="K25" i="2"/>
  <c r="I31" i="2"/>
  <c r="K31" i="2"/>
  <c r="F36" i="2"/>
  <c r="H36" i="2"/>
  <c r="I23" i="2"/>
  <c r="K23" i="2"/>
  <c r="I28" i="2"/>
  <c r="K28" i="2"/>
  <c r="F19" i="2"/>
  <c r="H19" i="2"/>
  <c r="I22" i="2"/>
  <c r="K22" i="2"/>
  <c r="I27" i="2"/>
  <c r="K27" i="2"/>
  <c r="F34" i="2"/>
  <c r="H34" i="2"/>
  <c r="O1" i="4"/>
  <c r="O4" i="4"/>
  <c r="O2" i="4"/>
  <c r="T3" i="4"/>
  <c r="O3" i="4"/>
  <c r="T2" i="4"/>
  <c r="T1" i="4"/>
  <c r="O1" i="3"/>
  <c r="T2" i="3"/>
  <c r="O2" i="3"/>
  <c r="O3" i="3"/>
  <c r="T3" i="3"/>
  <c r="O4" i="3"/>
  <c r="T1" i="3"/>
  <c r="I30" i="2"/>
  <c r="K30" i="2"/>
  <c r="F33" i="2"/>
  <c r="I33" i="2"/>
  <c r="K33" i="2"/>
  <c r="K37" i="2"/>
  <c r="H33" i="2"/>
  <c r="H37" i="2"/>
  <c r="K41" i="2"/>
  <c r="K43" i="2"/>
</calcChain>
</file>

<file path=xl/sharedStrings.xml><?xml version="1.0" encoding="utf-8"?>
<sst xmlns="http://schemas.openxmlformats.org/spreadsheetml/2006/main" count="157" uniqueCount="139">
  <si>
    <t>nom</t>
  </si>
  <si>
    <t>matricule</t>
  </si>
  <si>
    <t>prénom</t>
  </si>
  <si>
    <t>date naissance</t>
  </si>
  <si>
    <t>salaire (brut)</t>
  </si>
  <si>
    <t>Martin</t>
  </si>
  <si>
    <t>Paul</t>
  </si>
  <si>
    <t>Bernard</t>
  </si>
  <si>
    <t>Sébastien</t>
  </si>
  <si>
    <t>Domenech</t>
  </si>
  <si>
    <t>Raymon</t>
  </si>
  <si>
    <t>fonction</t>
  </si>
  <si>
    <t>ingénieur</t>
  </si>
  <si>
    <t>chef de projet</t>
  </si>
  <si>
    <t>technicien</t>
  </si>
  <si>
    <t>Bernadette</t>
  </si>
  <si>
    <t>Chirac</t>
  </si>
  <si>
    <t>secrétaire</t>
  </si>
  <si>
    <t>Hollande</t>
  </si>
  <si>
    <t>François</t>
  </si>
  <si>
    <t>PDG</t>
  </si>
  <si>
    <t>Vaillant</t>
  </si>
  <si>
    <t>commercial</t>
  </si>
  <si>
    <t>Faure</t>
  </si>
  <si>
    <t>Michel</t>
  </si>
  <si>
    <t>Huster</t>
  </si>
  <si>
    <t>Françis</t>
  </si>
  <si>
    <t>TABLE SALARIE</t>
  </si>
  <si>
    <t>TABLE PRODUIT</t>
  </si>
  <si>
    <t>id</t>
  </si>
  <si>
    <t>Peugeot 406</t>
  </si>
  <si>
    <t>BMW série 3</t>
  </si>
  <si>
    <t>Renault mégane</t>
  </si>
  <si>
    <t>Renault clio</t>
  </si>
  <si>
    <t>BULLETIN DE PAIE - CADRE</t>
  </si>
  <si>
    <t>EMPLOYEUR:</t>
  </si>
  <si>
    <t>SALARIE:</t>
  </si>
  <si>
    <t>Nom:</t>
  </si>
  <si>
    <t>Nom et Prénom:</t>
  </si>
  <si>
    <t>Adresse:</t>
  </si>
  <si>
    <t>CP et Ville :</t>
  </si>
  <si>
    <t>Numéro SIRET:</t>
  </si>
  <si>
    <t>SALAIRE BRUT</t>
  </si>
  <si>
    <t>COTISATIONS</t>
  </si>
  <si>
    <t>PART SALARIALE</t>
  </si>
  <si>
    <t>PART PATRONALE</t>
  </si>
  <si>
    <t>Base</t>
  </si>
  <si>
    <t>Taux</t>
  </si>
  <si>
    <t>Montant</t>
  </si>
  <si>
    <t>CSG non déductible</t>
  </si>
  <si>
    <t>CRDS non déductible</t>
  </si>
  <si>
    <t>Csg déductible</t>
  </si>
  <si>
    <t>Sécurité sociale</t>
  </si>
  <si>
    <t>Assurance maladie</t>
  </si>
  <si>
    <t>Assurance veuvage</t>
  </si>
  <si>
    <t>Assurance vieillesse</t>
  </si>
  <si>
    <t>AV déplafonée</t>
  </si>
  <si>
    <t>AV plafonnée</t>
  </si>
  <si>
    <t>Accidents du travail</t>
  </si>
  <si>
    <t>Allocation familiales</t>
  </si>
  <si>
    <t>Aide au logement</t>
  </si>
  <si>
    <t>AL déplafonée</t>
  </si>
  <si>
    <t>AL plafonnée</t>
  </si>
  <si>
    <t>ASSEDIC</t>
  </si>
  <si>
    <t>Assurance chômage tranche B</t>
  </si>
  <si>
    <t>Assurance chômage tranche AGS (FNGS)</t>
  </si>
  <si>
    <t>Caisse de retraite (cadre)</t>
  </si>
  <si>
    <t>Retraite complémentaire et AGFF tranche B</t>
  </si>
  <si>
    <t>APEC</t>
  </si>
  <si>
    <t>Assurance décès des cadres</t>
  </si>
  <si>
    <t>CET</t>
  </si>
  <si>
    <t>TOTAL des cotisations</t>
  </si>
  <si>
    <t>Net à payer</t>
  </si>
  <si>
    <t>Salaire net imposable</t>
  </si>
  <si>
    <t>A CONSERVER SANS LIMITATION DE DUREE</t>
  </si>
  <si>
    <t>Table Entreprise</t>
  </si>
  <si>
    <t>adresse</t>
  </si>
  <si>
    <t>CP</t>
  </si>
  <si>
    <t>VILLE</t>
  </si>
  <si>
    <t>n°SIRET</t>
  </si>
  <si>
    <t>matricule du salarié :</t>
  </si>
  <si>
    <t>Place Pierre Beregovoy</t>
  </si>
  <si>
    <t>MAGNANVILLE</t>
  </si>
  <si>
    <t>Date naissance</t>
  </si>
  <si>
    <t>date vente</t>
  </si>
  <si>
    <t>n° produit vendu</t>
  </si>
  <si>
    <t>n° commercial</t>
  </si>
  <si>
    <t>n° produit acheté</t>
  </si>
  <si>
    <t>prix vente</t>
  </si>
  <si>
    <t>prix achat</t>
  </si>
  <si>
    <t>quantité vendu</t>
  </si>
  <si>
    <t>Prix total</t>
  </si>
  <si>
    <t>TOTAL</t>
  </si>
  <si>
    <t>MOYENNE</t>
  </si>
  <si>
    <t>quantité acheté</t>
  </si>
  <si>
    <t>Prix unitaire achat</t>
  </si>
  <si>
    <t>Prix unitaire vente</t>
  </si>
  <si>
    <t>id produit</t>
  </si>
  <si>
    <t>nom produit</t>
  </si>
  <si>
    <t>qté vendu</t>
  </si>
  <si>
    <t>qte acheté</t>
  </si>
  <si>
    <t>qté stock</t>
  </si>
  <si>
    <t>MODULE VENTE</t>
  </si>
  <si>
    <t>Sélectionnez le produit vendu</t>
  </si>
  <si>
    <t>saisir la qté vendu</t>
  </si>
  <si>
    <t>1 : Peugeot 406</t>
  </si>
  <si>
    <t>Sélectionnez le commercial</t>
  </si>
  <si>
    <t>Historique des ventes</t>
  </si>
  <si>
    <t>MODULE ACHAT</t>
  </si>
  <si>
    <t>Sélectionnez le produit acheté</t>
  </si>
  <si>
    <t>saisir la qté acheté</t>
  </si>
  <si>
    <t>Historique des achats</t>
  </si>
  <si>
    <t>MODULE STOCK</t>
  </si>
  <si>
    <t>6 : Vaillant Paul</t>
  </si>
  <si>
    <t>4 : Renault clio</t>
  </si>
  <si>
    <t>Concessionnaire Senghor</t>
  </si>
  <si>
    <t>Prix unitaire (achat)</t>
  </si>
  <si>
    <t>Valeur stock</t>
  </si>
  <si>
    <t>Année 2015</t>
  </si>
  <si>
    <t>Total des salaires</t>
  </si>
  <si>
    <t>Charge</t>
  </si>
  <si>
    <t>Recette</t>
  </si>
  <si>
    <t>Total</t>
  </si>
  <si>
    <t>MODULE FINANCE</t>
  </si>
  <si>
    <t>Divers charges</t>
  </si>
  <si>
    <t>Résultat Net</t>
  </si>
  <si>
    <t>Chiffre d'Affaire</t>
  </si>
  <si>
    <t>Achats</t>
  </si>
  <si>
    <t>Ventes des vendeurs</t>
  </si>
  <si>
    <t>vendeur</t>
  </si>
  <si>
    <t>MODULE Décisionnel
 (BI : BUSINESS INTELIGENCE)</t>
  </si>
  <si>
    <t>Voitures vendues</t>
  </si>
  <si>
    <t>Voiture</t>
  </si>
  <si>
    <t>Prix achat</t>
  </si>
  <si>
    <t>Prix vente</t>
  </si>
  <si>
    <t>Bénéfice pour 1 voiture vendue</t>
  </si>
  <si>
    <t>nb voiture vendue</t>
  </si>
  <si>
    <t>Bénéfice total</t>
  </si>
  <si>
    <t>Bénéfices par voiture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</si>
</sst>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20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theme="0" tint="-0.249977111117893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9"/>
      <name val="Arial"/>
      <family val="2"/>
    </font>
    <font>
      <b/>
      <i/>
      <sz val="10"/>
      <color theme="0"/>
      <name val="Arial"/>
      <family val="2"/>
    </font>
    <font>
      <sz val="9"/>
      <color indexed="50"/>
      <name val="Comic Sans MS"/>
      <family val="4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0"/>
      <name val="Algerian"/>
      <family val="5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9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7" xfId="0" applyFill="1" applyBorder="1"/>
    <xf numFmtId="0" fontId="0" fillId="3" borderId="0" xfId="0" applyFill="1" applyBorder="1"/>
    <xf numFmtId="0" fontId="0" fillId="3" borderId="8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4" borderId="0" xfId="0" applyFill="1" applyBorder="1"/>
    <xf numFmtId="164" fontId="0" fillId="4" borderId="8" xfId="0" applyNumberFormat="1" applyFill="1" applyBorder="1"/>
    <xf numFmtId="0" fontId="0" fillId="4" borderId="8" xfId="0" applyFill="1" applyBorder="1"/>
    <xf numFmtId="164" fontId="7" fillId="4" borderId="0" xfId="0" applyNumberFormat="1" applyFont="1" applyFill="1" applyBorder="1"/>
    <xf numFmtId="0" fontId="8" fillId="5" borderId="12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164" fontId="0" fillId="5" borderId="9" xfId="0" applyNumberFormat="1" applyFill="1" applyBorder="1"/>
    <xf numFmtId="0" fontId="0" fillId="5" borderId="9" xfId="0" applyFill="1" applyBorder="1"/>
    <xf numFmtId="0" fontId="0" fillId="5" borderId="10" xfId="0" applyFill="1" applyBorder="1"/>
    <xf numFmtId="0" fontId="0" fillId="3" borderId="7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164" fontId="0" fillId="3" borderId="9" xfId="0" applyNumberFormat="1" applyFill="1" applyBorder="1"/>
    <xf numFmtId="0" fontId="0" fillId="0" borderId="7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0" fillId="0" borderId="9" xfId="0" applyNumberFormat="1" applyFill="1" applyBorder="1"/>
    <xf numFmtId="0" fontId="0" fillId="0" borderId="0" xfId="0" applyFill="1" applyBorder="1"/>
    <xf numFmtId="0" fontId="0" fillId="0" borderId="8" xfId="0" applyFill="1" applyBorder="1"/>
    <xf numFmtId="0" fontId="8" fillId="0" borderId="13" xfId="0" applyFont="1" applyBorder="1" applyAlignment="1"/>
    <xf numFmtId="0" fontId="8" fillId="0" borderId="13" xfId="0" applyFont="1" applyBorder="1"/>
    <xf numFmtId="0" fontId="8" fillId="0" borderId="3" xfId="0" applyFont="1" applyBorder="1"/>
    <xf numFmtId="0" fontId="8" fillId="0" borderId="3" xfId="0" applyFont="1" applyFill="1" applyBorder="1"/>
    <xf numFmtId="0" fontId="8" fillId="0" borderId="10" xfId="0" applyFont="1" applyBorder="1"/>
    <xf numFmtId="164" fontId="0" fillId="0" borderId="14" xfId="0" applyNumberFormat="1" applyFill="1" applyBorder="1" applyAlignment="1"/>
    <xf numFmtId="10" fontId="0" fillId="0" borderId="14" xfId="0" applyNumberFormat="1" applyBorder="1"/>
    <xf numFmtId="164" fontId="0" fillId="4" borderId="0" xfId="0" applyNumberFormat="1" applyFill="1" applyBorder="1"/>
    <xf numFmtId="164" fontId="0" fillId="0" borderId="14" xfId="0" applyNumberFormat="1" applyBorder="1"/>
    <xf numFmtId="164" fontId="0" fillId="0" borderId="15" xfId="0" applyNumberFormat="1" applyFill="1" applyBorder="1" applyAlignment="1"/>
    <xf numFmtId="10" fontId="0" fillId="0" borderId="15" xfId="0" applyNumberFormat="1" applyBorder="1"/>
    <xf numFmtId="164" fontId="0" fillId="0" borderId="15" xfId="0" applyNumberFormat="1" applyBorder="1"/>
    <xf numFmtId="0" fontId="0" fillId="0" borderId="15" xfId="0" applyBorder="1"/>
    <xf numFmtId="164" fontId="6" fillId="0" borderId="15" xfId="0" applyNumberFormat="1" applyFont="1" applyBorder="1"/>
    <xf numFmtId="10" fontId="0" fillId="0" borderId="0" xfId="0" applyNumberFormat="1" applyBorder="1"/>
    <xf numFmtId="164" fontId="0" fillId="4" borderId="15" xfId="0" applyNumberFormat="1" applyFill="1" applyBorder="1"/>
    <xf numFmtId="164" fontId="0" fillId="0" borderId="16" xfId="0" applyNumberFormat="1" applyBorder="1"/>
    <xf numFmtId="10" fontId="0" fillId="0" borderId="16" xfId="0" applyNumberFormat="1" applyBorder="1"/>
    <xf numFmtId="0" fontId="0" fillId="0" borderId="0" xfId="0" applyBorder="1"/>
    <xf numFmtId="164" fontId="3" fillId="4" borderId="16" xfId="0" applyNumberFormat="1" applyFont="1" applyFill="1" applyBorder="1"/>
    <xf numFmtId="164" fontId="3" fillId="4" borderId="13" xfId="0" applyNumberFormat="1" applyFont="1" applyFill="1" applyBorder="1"/>
    <xf numFmtId="0" fontId="0" fillId="0" borderId="8" xfId="0" applyBorder="1"/>
    <xf numFmtId="0" fontId="0" fillId="3" borderId="2" xfId="0" applyFill="1" applyBorder="1"/>
    <xf numFmtId="0" fontId="0" fillId="3" borderId="3" xfId="0" applyFill="1" applyBorder="1"/>
    <xf numFmtId="0" fontId="9" fillId="0" borderId="7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0" fillId="5" borderId="2" xfId="0" applyFill="1" applyBorder="1"/>
    <xf numFmtId="164" fontId="10" fillId="5" borderId="3" xfId="0" applyNumberFormat="1" applyFont="1" applyFill="1" applyBorder="1"/>
    <xf numFmtId="164" fontId="10" fillId="0" borderId="8" xfId="0" applyNumberFormat="1" applyFont="1" applyFill="1" applyBorder="1"/>
    <xf numFmtId="0" fontId="11" fillId="0" borderId="7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5" fillId="5" borderId="0" xfId="0" applyFont="1" applyFill="1" applyBorder="1"/>
    <xf numFmtId="164" fontId="3" fillId="5" borderId="8" xfId="0" applyNumberFormat="1" applyFont="1" applyFill="1" applyBorder="1"/>
    <xf numFmtId="164" fontId="10" fillId="0" borderId="0" xfId="0" applyNumberFormat="1" applyFont="1" applyFill="1" applyBorder="1"/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6" borderId="0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64" fontId="3" fillId="6" borderId="11" xfId="0" applyNumberFormat="1" applyFont="1" applyFill="1" applyBorder="1"/>
    <xf numFmtId="0" fontId="0" fillId="0" borderId="11" xfId="0" applyBorder="1"/>
    <xf numFmtId="0" fontId="14" fillId="8" borderId="17" xfId="0" applyFont="1" applyFill="1" applyBorder="1"/>
    <xf numFmtId="0" fontId="14" fillId="8" borderId="18" xfId="0" applyFont="1" applyFill="1" applyBorder="1"/>
    <xf numFmtId="0" fontId="14" fillId="8" borderId="19" xfId="0" applyFont="1" applyFill="1" applyBorder="1"/>
    <xf numFmtId="0" fontId="0" fillId="9" borderId="20" xfId="0" applyFont="1" applyFill="1" applyBorder="1"/>
    <xf numFmtId="0" fontId="0" fillId="9" borderId="21" xfId="0" applyFont="1" applyFill="1" applyBorder="1"/>
    <xf numFmtId="14" fontId="0" fillId="9" borderId="21" xfId="0" applyNumberFormat="1" applyFont="1" applyFill="1" applyBorder="1"/>
    <xf numFmtId="0" fontId="0" fillId="9" borderId="22" xfId="0" applyFont="1" applyFill="1" applyBorder="1"/>
    <xf numFmtId="0" fontId="0" fillId="0" borderId="20" xfId="0" applyFont="1" applyBorder="1"/>
    <xf numFmtId="0" fontId="0" fillId="0" borderId="21" xfId="0" applyFont="1" applyBorder="1"/>
    <xf numFmtId="14" fontId="0" fillId="0" borderId="21" xfId="0" applyNumberFormat="1" applyFont="1" applyBorder="1"/>
    <xf numFmtId="0" fontId="0" fillId="0" borderId="22" xfId="0" applyFont="1" applyBorder="1"/>
    <xf numFmtId="0" fontId="0" fillId="10" borderId="11" xfId="0" applyFill="1" applyBorder="1"/>
    <xf numFmtId="14" fontId="0" fillId="0" borderId="11" xfId="0" applyNumberFormat="1" applyBorder="1"/>
    <xf numFmtId="0" fontId="0" fillId="0" borderId="11" xfId="0" applyFill="1" applyBorder="1"/>
    <xf numFmtId="0" fontId="14" fillId="13" borderId="11" xfId="0" applyFont="1" applyFill="1" applyBorder="1" applyAlignment="1">
      <alignment horizontal="center" vertical="center"/>
    </xf>
    <xf numFmtId="0" fontId="0" fillId="14" borderId="11" xfId="0" applyFill="1" applyBorder="1"/>
    <xf numFmtId="0" fontId="14" fillId="15" borderId="11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4" fillId="16" borderId="11" xfId="0" applyFont="1" applyFill="1" applyBorder="1" applyAlignment="1">
      <alignment horizontal="center" vertical="center"/>
    </xf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0" xfId="0" applyFill="1" applyBorder="1"/>
    <xf numFmtId="0" fontId="0" fillId="7" borderId="8" xfId="0" applyFill="1" applyBorder="1"/>
    <xf numFmtId="0" fontId="0" fillId="7" borderId="12" xfId="0" applyFill="1" applyBorder="1"/>
    <xf numFmtId="0" fontId="0" fillId="7" borderId="9" xfId="0" applyFill="1" applyBorder="1"/>
    <xf numFmtId="0" fontId="0" fillId="7" borderId="10" xfId="0" applyFill="1" applyBorder="1"/>
    <xf numFmtId="0" fontId="18" fillId="0" borderId="0" xfId="0" applyFont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12" xfId="0" applyFill="1" applyBorder="1"/>
    <xf numFmtId="0" fontId="0" fillId="12" borderId="9" xfId="0" applyFill="1" applyBorder="1"/>
    <xf numFmtId="0" fontId="0" fillId="12" borderId="10" xfId="0" applyFill="1" applyBorder="1"/>
    <xf numFmtId="0" fontId="17" fillId="0" borderId="7" xfId="0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1" fontId="0" fillId="9" borderId="22" xfId="0" quotePrefix="1" applyNumberFormat="1" applyFont="1" applyFill="1" applyBorder="1"/>
    <xf numFmtId="164" fontId="0" fillId="10" borderId="0" xfId="0" applyNumberFormat="1" applyFill="1"/>
    <xf numFmtId="0" fontId="0" fillId="9" borderId="20" xfId="0" applyFill="1" applyBorder="1" applyAlignment="1">
      <alignment wrapText="1"/>
    </xf>
    <xf numFmtId="0" fontId="14" fillId="16" borderId="11" xfId="0" applyFont="1" applyFill="1" applyBorder="1" applyAlignment="1">
      <alignment horizontal="center" vertical="center" wrapText="1"/>
    </xf>
    <xf numFmtId="164" fontId="0" fillId="11" borderId="11" xfId="0" applyNumberFormat="1" applyFill="1" applyBorder="1" applyAlignment="1">
      <alignment vertical="center"/>
    </xf>
    <xf numFmtId="164" fontId="0" fillId="0" borderId="0" xfId="0" applyNumberFormat="1"/>
    <xf numFmtId="0" fontId="16" fillId="17" borderId="0" xfId="0" applyFont="1" applyFill="1"/>
    <xf numFmtId="164" fontId="0" fillId="0" borderId="11" xfId="0" applyNumberFormat="1" applyFill="1" applyBorder="1"/>
    <xf numFmtId="0" fontId="15" fillId="0" borderId="0" xfId="0" applyFont="1"/>
    <xf numFmtId="164" fontId="0" fillId="19" borderId="11" xfId="0" applyNumberFormat="1" applyFill="1" applyBorder="1"/>
    <xf numFmtId="164" fontId="0" fillId="0" borderId="26" xfId="0" applyNumberFormat="1" applyFill="1" applyBorder="1"/>
    <xf numFmtId="164" fontId="0" fillId="0" borderId="27" xfId="0" applyNumberFormat="1" applyFill="1" applyBorder="1"/>
    <xf numFmtId="164" fontId="0" fillId="0" borderId="28" xfId="0" applyNumberFormat="1" applyFill="1" applyBorder="1"/>
    <xf numFmtId="164" fontId="15" fillId="19" borderId="0" xfId="0" applyNumberFormat="1" applyFont="1" applyFill="1"/>
    <xf numFmtId="0" fontId="14" fillId="19" borderId="11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13" fillId="0" borderId="0" xfId="1" applyFont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" fontId="3" fillId="6" borderId="0" xfId="0" applyNumberFormat="1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4" borderId="7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14" fontId="5" fillId="6" borderId="0" xfId="0" applyNumberFormat="1" applyFont="1" applyFill="1" applyBorder="1" applyAlignment="1">
      <alignment horizontal="center"/>
    </xf>
    <xf numFmtId="14" fontId="5" fillId="6" borderId="8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7" fillId="15" borderId="23" xfId="0" applyFont="1" applyFill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/>
    </xf>
    <xf numFmtId="0" fontId="17" fillId="15" borderId="25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18" borderId="1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center" vertical="center"/>
    </xf>
    <xf numFmtId="0" fontId="14" fillId="18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2">
    <dxf>
      <font>
        <color rgb="FFFF0000"/>
      </font>
    </dxf>
    <dxf>
      <font>
        <color theme="9" tint="-0.24994659260841701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Décisionnel!$C$6:$C$8</c:f>
              <c:strCache>
                <c:ptCount val="3"/>
                <c:pt idx="0">
                  <c:v>6 : Vaillant Paul</c:v>
                </c:pt>
                <c:pt idx="1">
                  <c:v>7 : Faure Michel</c:v>
                </c:pt>
                <c:pt idx="2">
                  <c:v>8 : Huster Françis</c:v>
                </c:pt>
              </c:strCache>
            </c:strRef>
          </c:cat>
          <c:val>
            <c:numRef>
              <c:f>Décisionnel!$D$6:$D$8</c:f>
              <c:numCache>
                <c:formatCode>General</c:formatCode>
                <c:ptCount val="3"/>
                <c:pt idx="0">
                  <c:v>46.0</c:v>
                </c:pt>
                <c:pt idx="1">
                  <c:v>16.0</c:v>
                </c:pt>
                <c:pt idx="2">
                  <c:v>25.0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explosion val="1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Décisionnel!$C$29:$C$32</c:f>
              <c:strCache>
                <c:ptCount val="4"/>
                <c:pt idx="0">
                  <c:v>1 : Peugeot 406</c:v>
                </c:pt>
                <c:pt idx="1">
                  <c:v>2 : BMW série 3</c:v>
                </c:pt>
                <c:pt idx="2">
                  <c:v>3 : Renault mégane</c:v>
                </c:pt>
                <c:pt idx="3">
                  <c:v>4 : Renault clio</c:v>
                </c:pt>
              </c:strCache>
            </c:strRef>
          </c:cat>
          <c:val>
            <c:numRef>
              <c:f>Décisionnel!$D$29:$D$32</c:f>
              <c:numCache>
                <c:formatCode>General</c:formatCode>
                <c:ptCount val="4"/>
                <c:pt idx="0">
                  <c:v>36.0</c:v>
                </c:pt>
                <c:pt idx="1">
                  <c:v>8.0</c:v>
                </c:pt>
                <c:pt idx="2">
                  <c:v>20.0</c:v>
                </c:pt>
                <c:pt idx="3">
                  <c:v>23.0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Décisionnel!$A$53:$A$56</c:f>
              <c:strCache>
                <c:ptCount val="4"/>
                <c:pt idx="0">
                  <c:v>1 : Peugeot 406</c:v>
                </c:pt>
                <c:pt idx="1">
                  <c:v>2 : BMW série 3</c:v>
                </c:pt>
                <c:pt idx="2">
                  <c:v>3 : Renault mégane</c:v>
                </c:pt>
                <c:pt idx="3">
                  <c:v>4 : Renault clio</c:v>
                </c:pt>
              </c:strCache>
            </c:strRef>
          </c:cat>
          <c:val>
            <c:numRef>
              <c:f>Décisionnel!$F$53:$F$56</c:f>
              <c:numCache>
                <c:formatCode>General</c:formatCode>
                <c:ptCount val="4"/>
                <c:pt idx="0">
                  <c:v>72000.0</c:v>
                </c:pt>
                <c:pt idx="1">
                  <c:v>8000.0</c:v>
                </c:pt>
                <c:pt idx="2">
                  <c:v>60000.0</c:v>
                </c:pt>
                <c:pt idx="3">
                  <c:v>69000.0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774700</xdr:colOff>
          <xdr:row>2</xdr:row>
          <xdr:rowOff>127000</xdr:rowOff>
        </xdr:from>
        <xdr:to>
          <xdr:col>4</xdr:col>
          <xdr:colOff>1358900</xdr:colOff>
          <xdr:row>5</xdr:row>
          <xdr:rowOff>25400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Effectuer la vente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495300</xdr:colOff>
          <xdr:row>2</xdr:row>
          <xdr:rowOff>12700</xdr:rowOff>
        </xdr:from>
        <xdr:to>
          <xdr:col>4</xdr:col>
          <xdr:colOff>520700</xdr:colOff>
          <xdr:row>3</xdr:row>
          <xdr:rowOff>177800</xdr:rowOff>
        </xdr:to>
        <xdr:sp macro="" textlink="">
          <xdr:nvSpPr>
            <xdr:cNvPr id="2049" name="Bouton_achat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Effectuer l'achat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9</xdr:row>
      <xdr:rowOff>19050</xdr:rowOff>
    </xdr:from>
    <xdr:to>
      <xdr:col>6</xdr:col>
      <xdr:colOff>180975</xdr:colOff>
      <xdr:row>23</xdr:row>
      <xdr:rowOff>95250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1009650</xdr:colOff>
      <xdr:row>32</xdr:row>
      <xdr:rowOff>171450</xdr:rowOff>
    </xdr:from>
    <xdr:to>
      <xdr:col>6</xdr:col>
      <xdr:colOff>419100</xdr:colOff>
      <xdr:row>47</xdr:row>
      <xdr:rowOff>57150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542925</xdr:colOff>
      <xdr:row>58</xdr:row>
      <xdr:rowOff>76200</xdr:rowOff>
    </xdr:from>
    <xdr:to>
      <xdr:col>5</xdr:col>
      <xdr:colOff>714375</xdr:colOff>
      <xdr:row>72</xdr:row>
      <xdr:rowOff>152400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 enableFormatConditionsCalculation="0"/>
  <dimension ref="A1:F21"/>
  <sheetViews>
    <sheetView tabSelected="1" workbookViewId="0">
      <selection activeCell="F3" sqref="F3"/>
    </sheetView>
  </sheetViews>
  <sheetFormatPr baseColWidth="10" defaultRowHeight="14" x14ac:dyDescent="0"/>
  <cols>
    <col min="1" max="1" width="16.1640625" bestFit="1" customWidth="1"/>
    <col min="2" max="2" width="21.6640625" bestFit="1" customWidth="1"/>
    <col min="3" max="3" width="11" bestFit="1" customWidth="1"/>
    <col min="4" max="4" width="14" bestFit="1" customWidth="1"/>
    <col min="5" max="5" width="15" bestFit="1" customWidth="1"/>
    <col min="6" max="6" width="12.5" bestFit="1" customWidth="1"/>
  </cols>
  <sheetData>
    <row r="1" spans="1:6">
      <c r="A1" s="2" t="s">
        <v>27</v>
      </c>
      <c r="B1" s="2"/>
      <c r="C1" s="2"/>
      <c r="D1" s="2"/>
      <c r="E1" s="2"/>
      <c r="F1" s="2"/>
    </row>
    <row r="2" spans="1:6">
      <c r="A2" s="68" t="s">
        <v>1</v>
      </c>
      <c r="B2" s="69" t="s">
        <v>0</v>
      </c>
      <c r="C2" s="69" t="s">
        <v>2</v>
      </c>
      <c r="D2" s="69" t="s">
        <v>3</v>
      </c>
      <c r="E2" s="69" t="s">
        <v>11</v>
      </c>
      <c r="F2" s="70" t="s">
        <v>4</v>
      </c>
    </row>
    <row r="3" spans="1:6">
      <c r="A3" s="71">
        <v>1</v>
      </c>
      <c r="B3" s="72" t="s">
        <v>5</v>
      </c>
      <c r="C3" s="72" t="s">
        <v>6</v>
      </c>
      <c r="D3" s="73">
        <v>21530</v>
      </c>
      <c r="E3" s="73" t="s">
        <v>12</v>
      </c>
      <c r="F3" s="74">
        <v>4000</v>
      </c>
    </row>
    <row r="4" spans="1:6">
      <c r="A4" s="75">
        <v>2</v>
      </c>
      <c r="B4" s="76" t="s">
        <v>7</v>
      </c>
      <c r="C4" s="76" t="s">
        <v>8</v>
      </c>
      <c r="D4" s="77">
        <v>27437</v>
      </c>
      <c r="E4" s="77" t="s">
        <v>14</v>
      </c>
      <c r="F4" s="78">
        <v>2000</v>
      </c>
    </row>
    <row r="5" spans="1:6">
      <c r="A5" s="71">
        <v>3</v>
      </c>
      <c r="B5" s="72" t="s">
        <v>9</v>
      </c>
      <c r="C5" s="72" t="s">
        <v>10</v>
      </c>
      <c r="D5" s="73">
        <v>19371</v>
      </c>
      <c r="E5" s="73" t="s">
        <v>13</v>
      </c>
      <c r="F5" s="74">
        <v>5000</v>
      </c>
    </row>
    <row r="6" spans="1:6">
      <c r="A6" s="75">
        <v>4</v>
      </c>
      <c r="B6" s="76" t="s">
        <v>16</v>
      </c>
      <c r="C6" s="76" t="s">
        <v>15</v>
      </c>
      <c r="D6" s="77">
        <v>30918</v>
      </c>
      <c r="E6" s="77" t="s">
        <v>17</v>
      </c>
      <c r="F6" s="78">
        <v>2500</v>
      </c>
    </row>
    <row r="7" spans="1:6">
      <c r="A7" s="71">
        <v>5</v>
      </c>
      <c r="B7" s="72" t="s">
        <v>18</v>
      </c>
      <c r="C7" s="72" t="s">
        <v>19</v>
      </c>
      <c r="D7" s="73">
        <v>18305</v>
      </c>
      <c r="E7" s="73" t="s">
        <v>20</v>
      </c>
      <c r="F7" s="74">
        <v>10000</v>
      </c>
    </row>
    <row r="8" spans="1:6">
      <c r="A8" s="75">
        <v>6</v>
      </c>
      <c r="B8" s="76" t="s">
        <v>21</v>
      </c>
      <c r="C8" s="76" t="s">
        <v>6</v>
      </c>
      <c r="D8" s="77">
        <v>29231</v>
      </c>
      <c r="E8" s="77" t="s">
        <v>22</v>
      </c>
      <c r="F8" s="78">
        <v>2800</v>
      </c>
    </row>
    <row r="9" spans="1:6">
      <c r="A9" s="71">
        <v>7</v>
      </c>
      <c r="B9" s="72" t="s">
        <v>23</v>
      </c>
      <c r="C9" s="72" t="s">
        <v>24</v>
      </c>
      <c r="D9" s="73">
        <v>27637</v>
      </c>
      <c r="E9" s="73" t="s">
        <v>22</v>
      </c>
      <c r="F9" s="74">
        <v>3000</v>
      </c>
    </row>
    <row r="10" spans="1:6">
      <c r="A10" s="75">
        <v>8</v>
      </c>
      <c r="B10" s="76" t="s">
        <v>25</v>
      </c>
      <c r="C10" s="76" t="s">
        <v>26</v>
      </c>
      <c r="D10" s="77">
        <v>29638</v>
      </c>
      <c r="E10" s="77" t="s">
        <v>22</v>
      </c>
      <c r="F10" s="78">
        <v>2600</v>
      </c>
    </row>
    <row r="12" spans="1:6">
      <c r="A12" s="2" t="s">
        <v>28</v>
      </c>
      <c r="B12" s="1"/>
      <c r="C12" s="1"/>
      <c r="D12" s="1"/>
      <c r="E12" s="1"/>
      <c r="F12" s="1"/>
    </row>
    <row r="13" spans="1:6">
      <c r="A13" s="68" t="s">
        <v>29</v>
      </c>
      <c r="B13" s="69" t="s">
        <v>0</v>
      </c>
      <c r="C13" s="69" t="s">
        <v>88</v>
      </c>
      <c r="D13" s="70" t="s">
        <v>89</v>
      </c>
    </row>
    <row r="14" spans="1:6">
      <c r="A14" s="71">
        <v>1</v>
      </c>
      <c r="B14" s="72" t="s">
        <v>30</v>
      </c>
      <c r="C14" s="72">
        <v>21000</v>
      </c>
      <c r="D14" s="74">
        <v>19000</v>
      </c>
    </row>
    <row r="15" spans="1:6">
      <c r="A15" s="75">
        <v>2</v>
      </c>
      <c r="B15" s="76" t="s">
        <v>31</v>
      </c>
      <c r="C15" s="76">
        <v>32000</v>
      </c>
      <c r="D15" s="78">
        <v>31000</v>
      </c>
    </row>
    <row r="16" spans="1:6">
      <c r="A16" s="71">
        <v>3</v>
      </c>
      <c r="B16" s="72" t="s">
        <v>32</v>
      </c>
      <c r="C16" s="72">
        <v>15000</v>
      </c>
      <c r="D16" s="74">
        <v>12000</v>
      </c>
    </row>
    <row r="17" spans="1:6">
      <c r="A17" s="75">
        <v>4</v>
      </c>
      <c r="B17" s="76" t="s">
        <v>33</v>
      </c>
      <c r="C17" s="76">
        <v>10000</v>
      </c>
      <c r="D17" s="78">
        <v>7000</v>
      </c>
    </row>
    <row r="19" spans="1:6">
      <c r="A19" s="2" t="s">
        <v>75</v>
      </c>
      <c r="B19" s="1"/>
      <c r="C19" s="1"/>
      <c r="D19" s="1"/>
      <c r="E19" s="1"/>
      <c r="F19" s="1"/>
    </row>
    <row r="20" spans="1:6">
      <c r="A20" s="68" t="s">
        <v>0</v>
      </c>
      <c r="B20" s="69" t="s">
        <v>76</v>
      </c>
      <c r="C20" s="69" t="s">
        <v>77</v>
      </c>
      <c r="D20" s="69" t="s">
        <v>78</v>
      </c>
      <c r="E20" s="70" t="s">
        <v>79</v>
      </c>
    </row>
    <row r="21" spans="1:6" ht="28">
      <c r="A21" s="107" t="s">
        <v>115</v>
      </c>
      <c r="B21" s="72" t="s">
        <v>81</v>
      </c>
      <c r="C21" s="72">
        <v>78200</v>
      </c>
      <c r="D21" s="72" t="s">
        <v>82</v>
      </c>
      <c r="E21" s="105">
        <v>15478652333214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 enableFormatConditionsCalculation="0"/>
  <dimension ref="B1:L53"/>
  <sheetViews>
    <sheetView workbookViewId="0">
      <selection activeCell="B3" sqref="B3:C3"/>
    </sheetView>
  </sheetViews>
  <sheetFormatPr baseColWidth="10" defaultRowHeight="14" x14ac:dyDescent="0"/>
  <cols>
    <col min="1" max="1" width="1.5" customWidth="1"/>
    <col min="7" max="7" width="14.5" customWidth="1"/>
    <col min="8" max="8" width="14" customWidth="1"/>
    <col min="9" max="9" width="12.5" customWidth="1"/>
    <col min="11" max="11" width="16" customWidth="1"/>
    <col min="257" max="257" width="1.5" customWidth="1"/>
    <col min="263" max="263" width="12" bestFit="1" customWidth="1"/>
    <col min="264" max="264" width="14" customWidth="1"/>
    <col min="267" max="267" width="16" customWidth="1"/>
    <col min="513" max="513" width="1.5" customWidth="1"/>
    <col min="519" max="519" width="12" bestFit="1" customWidth="1"/>
    <col min="520" max="520" width="14" customWidth="1"/>
    <col min="523" max="523" width="16" customWidth="1"/>
    <col min="769" max="769" width="1.5" customWidth="1"/>
    <col min="775" max="775" width="12" bestFit="1" customWidth="1"/>
    <col min="776" max="776" width="14" customWidth="1"/>
    <col min="779" max="779" width="16" customWidth="1"/>
    <col min="1025" max="1025" width="1.5" customWidth="1"/>
    <col min="1031" max="1031" width="12" bestFit="1" customWidth="1"/>
    <col min="1032" max="1032" width="14" customWidth="1"/>
    <col min="1035" max="1035" width="16" customWidth="1"/>
    <col min="1281" max="1281" width="1.5" customWidth="1"/>
    <col min="1287" max="1287" width="12" bestFit="1" customWidth="1"/>
    <col min="1288" max="1288" width="14" customWidth="1"/>
    <col min="1291" max="1291" width="16" customWidth="1"/>
    <col min="1537" max="1537" width="1.5" customWidth="1"/>
    <col min="1543" max="1543" width="12" bestFit="1" customWidth="1"/>
    <col min="1544" max="1544" width="14" customWidth="1"/>
    <col min="1547" max="1547" width="16" customWidth="1"/>
    <col min="1793" max="1793" width="1.5" customWidth="1"/>
    <col min="1799" max="1799" width="12" bestFit="1" customWidth="1"/>
    <col min="1800" max="1800" width="14" customWidth="1"/>
    <col min="1803" max="1803" width="16" customWidth="1"/>
    <col min="2049" max="2049" width="1.5" customWidth="1"/>
    <col min="2055" max="2055" width="12" bestFit="1" customWidth="1"/>
    <col min="2056" max="2056" width="14" customWidth="1"/>
    <col min="2059" max="2059" width="16" customWidth="1"/>
    <col min="2305" max="2305" width="1.5" customWidth="1"/>
    <col min="2311" max="2311" width="12" bestFit="1" customWidth="1"/>
    <col min="2312" max="2312" width="14" customWidth="1"/>
    <col min="2315" max="2315" width="16" customWidth="1"/>
    <col min="2561" max="2561" width="1.5" customWidth="1"/>
    <col min="2567" max="2567" width="12" bestFit="1" customWidth="1"/>
    <col min="2568" max="2568" width="14" customWidth="1"/>
    <col min="2571" max="2571" width="16" customWidth="1"/>
    <col min="2817" max="2817" width="1.5" customWidth="1"/>
    <col min="2823" max="2823" width="12" bestFit="1" customWidth="1"/>
    <col min="2824" max="2824" width="14" customWidth="1"/>
    <col min="2827" max="2827" width="16" customWidth="1"/>
    <col min="3073" max="3073" width="1.5" customWidth="1"/>
    <col min="3079" max="3079" width="12" bestFit="1" customWidth="1"/>
    <col min="3080" max="3080" width="14" customWidth="1"/>
    <col min="3083" max="3083" width="16" customWidth="1"/>
    <col min="3329" max="3329" width="1.5" customWidth="1"/>
    <col min="3335" max="3335" width="12" bestFit="1" customWidth="1"/>
    <col min="3336" max="3336" width="14" customWidth="1"/>
    <col min="3339" max="3339" width="16" customWidth="1"/>
    <col min="3585" max="3585" width="1.5" customWidth="1"/>
    <col min="3591" max="3591" width="12" bestFit="1" customWidth="1"/>
    <col min="3592" max="3592" width="14" customWidth="1"/>
    <col min="3595" max="3595" width="16" customWidth="1"/>
    <col min="3841" max="3841" width="1.5" customWidth="1"/>
    <col min="3847" max="3847" width="12" bestFit="1" customWidth="1"/>
    <col min="3848" max="3848" width="14" customWidth="1"/>
    <col min="3851" max="3851" width="16" customWidth="1"/>
    <col min="4097" max="4097" width="1.5" customWidth="1"/>
    <col min="4103" max="4103" width="12" bestFit="1" customWidth="1"/>
    <col min="4104" max="4104" width="14" customWidth="1"/>
    <col min="4107" max="4107" width="16" customWidth="1"/>
    <col min="4353" max="4353" width="1.5" customWidth="1"/>
    <col min="4359" max="4359" width="12" bestFit="1" customWidth="1"/>
    <col min="4360" max="4360" width="14" customWidth="1"/>
    <col min="4363" max="4363" width="16" customWidth="1"/>
    <col min="4609" max="4609" width="1.5" customWidth="1"/>
    <col min="4615" max="4615" width="12" bestFit="1" customWidth="1"/>
    <col min="4616" max="4616" width="14" customWidth="1"/>
    <col min="4619" max="4619" width="16" customWidth="1"/>
    <col min="4865" max="4865" width="1.5" customWidth="1"/>
    <col min="4871" max="4871" width="12" bestFit="1" customWidth="1"/>
    <col min="4872" max="4872" width="14" customWidth="1"/>
    <col min="4875" max="4875" width="16" customWidth="1"/>
    <col min="5121" max="5121" width="1.5" customWidth="1"/>
    <col min="5127" max="5127" width="12" bestFit="1" customWidth="1"/>
    <col min="5128" max="5128" width="14" customWidth="1"/>
    <col min="5131" max="5131" width="16" customWidth="1"/>
    <col min="5377" max="5377" width="1.5" customWidth="1"/>
    <col min="5383" max="5383" width="12" bestFit="1" customWidth="1"/>
    <col min="5384" max="5384" width="14" customWidth="1"/>
    <col min="5387" max="5387" width="16" customWidth="1"/>
    <col min="5633" max="5633" width="1.5" customWidth="1"/>
    <col min="5639" max="5639" width="12" bestFit="1" customWidth="1"/>
    <col min="5640" max="5640" width="14" customWidth="1"/>
    <col min="5643" max="5643" width="16" customWidth="1"/>
    <col min="5889" max="5889" width="1.5" customWidth="1"/>
    <col min="5895" max="5895" width="12" bestFit="1" customWidth="1"/>
    <col min="5896" max="5896" width="14" customWidth="1"/>
    <col min="5899" max="5899" width="16" customWidth="1"/>
    <col min="6145" max="6145" width="1.5" customWidth="1"/>
    <col min="6151" max="6151" width="12" bestFit="1" customWidth="1"/>
    <col min="6152" max="6152" width="14" customWidth="1"/>
    <col min="6155" max="6155" width="16" customWidth="1"/>
    <col min="6401" max="6401" width="1.5" customWidth="1"/>
    <col min="6407" max="6407" width="12" bestFit="1" customWidth="1"/>
    <col min="6408" max="6408" width="14" customWidth="1"/>
    <col min="6411" max="6411" width="16" customWidth="1"/>
    <col min="6657" max="6657" width="1.5" customWidth="1"/>
    <col min="6663" max="6663" width="12" bestFit="1" customWidth="1"/>
    <col min="6664" max="6664" width="14" customWidth="1"/>
    <col min="6667" max="6667" width="16" customWidth="1"/>
    <col min="6913" max="6913" width="1.5" customWidth="1"/>
    <col min="6919" max="6919" width="12" bestFit="1" customWidth="1"/>
    <col min="6920" max="6920" width="14" customWidth="1"/>
    <col min="6923" max="6923" width="16" customWidth="1"/>
    <col min="7169" max="7169" width="1.5" customWidth="1"/>
    <col min="7175" max="7175" width="12" bestFit="1" customWidth="1"/>
    <col min="7176" max="7176" width="14" customWidth="1"/>
    <col min="7179" max="7179" width="16" customWidth="1"/>
    <col min="7425" max="7425" width="1.5" customWidth="1"/>
    <col min="7431" max="7431" width="12" bestFit="1" customWidth="1"/>
    <col min="7432" max="7432" width="14" customWidth="1"/>
    <col min="7435" max="7435" width="16" customWidth="1"/>
    <col min="7681" max="7681" width="1.5" customWidth="1"/>
    <col min="7687" max="7687" width="12" bestFit="1" customWidth="1"/>
    <col min="7688" max="7688" width="14" customWidth="1"/>
    <col min="7691" max="7691" width="16" customWidth="1"/>
    <col min="7937" max="7937" width="1.5" customWidth="1"/>
    <col min="7943" max="7943" width="12" bestFit="1" customWidth="1"/>
    <col min="7944" max="7944" width="14" customWidth="1"/>
    <col min="7947" max="7947" width="16" customWidth="1"/>
    <col min="8193" max="8193" width="1.5" customWidth="1"/>
    <col min="8199" max="8199" width="12" bestFit="1" customWidth="1"/>
    <col min="8200" max="8200" width="14" customWidth="1"/>
    <col min="8203" max="8203" width="16" customWidth="1"/>
    <col min="8449" max="8449" width="1.5" customWidth="1"/>
    <col min="8455" max="8455" width="12" bestFit="1" customWidth="1"/>
    <col min="8456" max="8456" width="14" customWidth="1"/>
    <col min="8459" max="8459" width="16" customWidth="1"/>
    <col min="8705" max="8705" width="1.5" customWidth="1"/>
    <col min="8711" max="8711" width="12" bestFit="1" customWidth="1"/>
    <col min="8712" max="8712" width="14" customWidth="1"/>
    <col min="8715" max="8715" width="16" customWidth="1"/>
    <col min="8961" max="8961" width="1.5" customWidth="1"/>
    <col min="8967" max="8967" width="12" bestFit="1" customWidth="1"/>
    <col min="8968" max="8968" width="14" customWidth="1"/>
    <col min="8971" max="8971" width="16" customWidth="1"/>
    <col min="9217" max="9217" width="1.5" customWidth="1"/>
    <col min="9223" max="9223" width="12" bestFit="1" customWidth="1"/>
    <col min="9224" max="9224" width="14" customWidth="1"/>
    <col min="9227" max="9227" width="16" customWidth="1"/>
    <col min="9473" max="9473" width="1.5" customWidth="1"/>
    <col min="9479" max="9479" width="12" bestFit="1" customWidth="1"/>
    <col min="9480" max="9480" width="14" customWidth="1"/>
    <col min="9483" max="9483" width="16" customWidth="1"/>
    <col min="9729" max="9729" width="1.5" customWidth="1"/>
    <col min="9735" max="9735" width="12" bestFit="1" customWidth="1"/>
    <col min="9736" max="9736" width="14" customWidth="1"/>
    <col min="9739" max="9739" width="16" customWidth="1"/>
    <col min="9985" max="9985" width="1.5" customWidth="1"/>
    <col min="9991" max="9991" width="12" bestFit="1" customWidth="1"/>
    <col min="9992" max="9992" width="14" customWidth="1"/>
    <col min="9995" max="9995" width="16" customWidth="1"/>
    <col min="10241" max="10241" width="1.5" customWidth="1"/>
    <col min="10247" max="10247" width="12" bestFit="1" customWidth="1"/>
    <col min="10248" max="10248" width="14" customWidth="1"/>
    <col min="10251" max="10251" width="16" customWidth="1"/>
    <col min="10497" max="10497" width="1.5" customWidth="1"/>
    <col min="10503" max="10503" width="12" bestFit="1" customWidth="1"/>
    <col min="10504" max="10504" width="14" customWidth="1"/>
    <col min="10507" max="10507" width="16" customWidth="1"/>
    <col min="10753" max="10753" width="1.5" customWidth="1"/>
    <col min="10759" max="10759" width="12" bestFit="1" customWidth="1"/>
    <col min="10760" max="10760" width="14" customWidth="1"/>
    <col min="10763" max="10763" width="16" customWidth="1"/>
    <col min="11009" max="11009" width="1.5" customWidth="1"/>
    <col min="11015" max="11015" width="12" bestFit="1" customWidth="1"/>
    <col min="11016" max="11016" width="14" customWidth="1"/>
    <col min="11019" max="11019" width="16" customWidth="1"/>
    <col min="11265" max="11265" width="1.5" customWidth="1"/>
    <col min="11271" max="11271" width="12" bestFit="1" customWidth="1"/>
    <col min="11272" max="11272" width="14" customWidth="1"/>
    <col min="11275" max="11275" width="16" customWidth="1"/>
    <col min="11521" max="11521" width="1.5" customWidth="1"/>
    <col min="11527" max="11527" width="12" bestFit="1" customWidth="1"/>
    <col min="11528" max="11528" width="14" customWidth="1"/>
    <col min="11531" max="11531" width="16" customWidth="1"/>
    <col min="11777" max="11777" width="1.5" customWidth="1"/>
    <col min="11783" max="11783" width="12" bestFit="1" customWidth="1"/>
    <col min="11784" max="11784" width="14" customWidth="1"/>
    <col min="11787" max="11787" width="16" customWidth="1"/>
    <col min="12033" max="12033" width="1.5" customWidth="1"/>
    <col min="12039" max="12039" width="12" bestFit="1" customWidth="1"/>
    <col min="12040" max="12040" width="14" customWidth="1"/>
    <col min="12043" max="12043" width="16" customWidth="1"/>
    <col min="12289" max="12289" width="1.5" customWidth="1"/>
    <col min="12295" max="12295" width="12" bestFit="1" customWidth="1"/>
    <col min="12296" max="12296" width="14" customWidth="1"/>
    <col min="12299" max="12299" width="16" customWidth="1"/>
    <col min="12545" max="12545" width="1.5" customWidth="1"/>
    <col min="12551" max="12551" width="12" bestFit="1" customWidth="1"/>
    <col min="12552" max="12552" width="14" customWidth="1"/>
    <col min="12555" max="12555" width="16" customWidth="1"/>
    <col min="12801" max="12801" width="1.5" customWidth="1"/>
    <col min="12807" max="12807" width="12" bestFit="1" customWidth="1"/>
    <col min="12808" max="12808" width="14" customWidth="1"/>
    <col min="12811" max="12811" width="16" customWidth="1"/>
    <col min="13057" max="13057" width="1.5" customWidth="1"/>
    <col min="13063" max="13063" width="12" bestFit="1" customWidth="1"/>
    <col min="13064" max="13064" width="14" customWidth="1"/>
    <col min="13067" max="13067" width="16" customWidth="1"/>
    <col min="13313" max="13313" width="1.5" customWidth="1"/>
    <col min="13319" max="13319" width="12" bestFit="1" customWidth="1"/>
    <col min="13320" max="13320" width="14" customWidth="1"/>
    <col min="13323" max="13323" width="16" customWidth="1"/>
    <col min="13569" max="13569" width="1.5" customWidth="1"/>
    <col min="13575" max="13575" width="12" bestFit="1" customWidth="1"/>
    <col min="13576" max="13576" width="14" customWidth="1"/>
    <col min="13579" max="13579" width="16" customWidth="1"/>
    <col min="13825" max="13825" width="1.5" customWidth="1"/>
    <col min="13831" max="13831" width="12" bestFit="1" customWidth="1"/>
    <col min="13832" max="13832" width="14" customWidth="1"/>
    <col min="13835" max="13835" width="16" customWidth="1"/>
    <col min="14081" max="14081" width="1.5" customWidth="1"/>
    <col min="14087" max="14087" width="12" bestFit="1" customWidth="1"/>
    <col min="14088" max="14088" width="14" customWidth="1"/>
    <col min="14091" max="14091" width="16" customWidth="1"/>
    <col min="14337" max="14337" width="1.5" customWidth="1"/>
    <col min="14343" max="14343" width="12" bestFit="1" customWidth="1"/>
    <col min="14344" max="14344" width="14" customWidth="1"/>
    <col min="14347" max="14347" width="16" customWidth="1"/>
    <col min="14593" max="14593" width="1.5" customWidth="1"/>
    <col min="14599" max="14599" width="12" bestFit="1" customWidth="1"/>
    <col min="14600" max="14600" width="14" customWidth="1"/>
    <col min="14603" max="14603" width="16" customWidth="1"/>
    <col min="14849" max="14849" width="1.5" customWidth="1"/>
    <col min="14855" max="14855" width="12" bestFit="1" customWidth="1"/>
    <col min="14856" max="14856" width="14" customWidth="1"/>
    <col min="14859" max="14859" width="16" customWidth="1"/>
    <col min="15105" max="15105" width="1.5" customWidth="1"/>
    <col min="15111" max="15111" width="12" bestFit="1" customWidth="1"/>
    <col min="15112" max="15112" width="14" customWidth="1"/>
    <col min="15115" max="15115" width="16" customWidth="1"/>
    <col min="15361" max="15361" width="1.5" customWidth="1"/>
    <col min="15367" max="15367" width="12" bestFit="1" customWidth="1"/>
    <col min="15368" max="15368" width="14" customWidth="1"/>
    <col min="15371" max="15371" width="16" customWidth="1"/>
    <col min="15617" max="15617" width="1.5" customWidth="1"/>
    <col min="15623" max="15623" width="12" bestFit="1" customWidth="1"/>
    <col min="15624" max="15624" width="14" customWidth="1"/>
    <col min="15627" max="15627" width="16" customWidth="1"/>
    <col min="15873" max="15873" width="1.5" customWidth="1"/>
    <col min="15879" max="15879" width="12" bestFit="1" customWidth="1"/>
    <col min="15880" max="15880" width="14" customWidth="1"/>
    <col min="15883" max="15883" width="16" customWidth="1"/>
    <col min="16129" max="16129" width="1.5" customWidth="1"/>
    <col min="16135" max="16135" width="12" bestFit="1" customWidth="1"/>
    <col min="16136" max="16136" width="14" customWidth="1"/>
    <col min="16139" max="16139" width="16" customWidth="1"/>
  </cols>
  <sheetData>
    <row r="1" spans="2:11" ht="18" thickBot="1">
      <c r="B1" s="163" t="s">
        <v>34</v>
      </c>
      <c r="C1" s="164"/>
      <c r="D1" s="164"/>
      <c r="E1" s="164"/>
      <c r="F1" s="164"/>
      <c r="G1" s="164"/>
      <c r="H1" s="164"/>
      <c r="I1" s="164"/>
      <c r="J1" s="164"/>
      <c r="K1" s="165"/>
    </row>
    <row r="2" spans="2:11" ht="16" thickBot="1">
      <c r="B2" s="129" t="s">
        <v>35</v>
      </c>
      <c r="C2" s="130"/>
      <c r="D2" s="130"/>
      <c r="E2" s="130"/>
      <c r="F2" s="131"/>
      <c r="G2" s="129" t="s">
        <v>36</v>
      </c>
      <c r="H2" s="130"/>
      <c r="I2" s="130"/>
      <c r="J2" s="130"/>
      <c r="K2" s="131"/>
    </row>
    <row r="3" spans="2:11" ht="15">
      <c r="B3" s="166" t="s">
        <v>37</v>
      </c>
      <c r="C3" s="167"/>
      <c r="D3" s="168" t="str">
        <f>'BDD unique'!A21</f>
        <v>Concessionnaire Senghor</v>
      </c>
      <c r="E3" s="168"/>
      <c r="F3" s="169"/>
      <c r="G3" s="166" t="s">
        <v>80</v>
      </c>
      <c r="H3" s="167"/>
      <c r="I3" s="172">
        <v>1</v>
      </c>
      <c r="J3" s="172"/>
      <c r="K3" s="173"/>
    </row>
    <row r="4" spans="2:11" ht="15">
      <c r="B4" s="62" t="s">
        <v>39</v>
      </c>
      <c r="C4" s="63"/>
      <c r="D4" s="104" t="str">
        <f>'BDD unique'!B21</f>
        <v>Place Pierre Beregovoy</v>
      </c>
      <c r="E4" s="64"/>
      <c r="F4" s="65"/>
      <c r="G4" s="62" t="s">
        <v>38</v>
      </c>
      <c r="H4" s="63"/>
      <c r="I4" s="174" t="str">
        <f>CONCATENATE(VLOOKUP(I3,'BDD unique'!A3:F10,2,FALSE)," ",VLOOKUP(I3,'BDD unique'!A3:F10,3,FALSE))</f>
        <v>Martin Paul</v>
      </c>
      <c r="J4" s="174"/>
      <c r="K4" s="175"/>
    </row>
    <row r="5" spans="2:11" ht="15">
      <c r="B5" s="62" t="s">
        <v>40</v>
      </c>
      <c r="C5" s="63"/>
      <c r="D5" s="142" t="str">
        <f>CONCATENATE('BDD unique'!C21," ",'BDD unique'!D21)</f>
        <v>78200 MAGNANVILLE</v>
      </c>
      <c r="E5" s="142"/>
      <c r="F5" s="143"/>
      <c r="G5" s="139" t="s">
        <v>83</v>
      </c>
      <c r="H5" s="140"/>
      <c r="I5" s="170">
        <f>VLOOKUP(I3,'BDD unique'!A3:F10,4,FALSE)</f>
        <v>21530</v>
      </c>
      <c r="J5" s="170"/>
      <c r="K5" s="171"/>
    </row>
    <row r="6" spans="2:11" ht="15">
      <c r="B6" s="139" t="s">
        <v>41</v>
      </c>
      <c r="C6" s="140"/>
      <c r="D6" s="141">
        <f>'BDD unique'!E21</f>
        <v>15478652333214</v>
      </c>
      <c r="E6" s="142"/>
      <c r="F6" s="143"/>
      <c r="G6" s="139" t="s">
        <v>11</v>
      </c>
      <c r="H6" s="140"/>
      <c r="I6" s="144" t="str">
        <f>VLOOKUP(I3,'BDD unique'!A3:F10,5,FALSE)</f>
        <v>ingénieur</v>
      </c>
      <c r="J6" s="144"/>
      <c r="K6" s="145"/>
    </row>
    <row r="7" spans="2:11" ht="15" thickBot="1">
      <c r="B7" s="3"/>
      <c r="C7" s="4"/>
      <c r="D7" s="4"/>
      <c r="E7" s="4"/>
      <c r="F7" s="5"/>
      <c r="G7" s="4"/>
      <c r="H7" s="4"/>
      <c r="I7" s="155"/>
      <c r="J7" s="155"/>
      <c r="K7" s="156"/>
    </row>
    <row r="8" spans="2:11" ht="7.5" customHeight="1">
      <c r="B8" s="6"/>
      <c r="C8" s="7"/>
      <c r="D8" s="7"/>
      <c r="E8" s="7"/>
      <c r="F8" s="7"/>
      <c r="G8" s="7"/>
      <c r="H8" s="7"/>
      <c r="I8" s="8"/>
      <c r="J8" s="8"/>
      <c r="K8" s="9"/>
    </row>
    <row r="9" spans="2:11" ht="15">
      <c r="B9" s="157" t="s">
        <v>42</v>
      </c>
      <c r="C9" s="158"/>
      <c r="D9" s="158"/>
      <c r="E9" s="158"/>
      <c r="F9" s="158"/>
      <c r="G9" s="66">
        <f>VLOOKUP(I3,'BDD unique'!A3:F10,6,FALSE)</f>
        <v>4000</v>
      </c>
      <c r="H9" s="10"/>
      <c r="I9" s="13"/>
      <c r="J9" s="10"/>
      <c r="K9" s="12"/>
    </row>
    <row r="10" spans="2:11" ht="9" customHeight="1" thickBot="1">
      <c r="B10" s="14"/>
      <c r="C10" s="15"/>
      <c r="D10" s="15"/>
      <c r="E10" s="15"/>
      <c r="F10" s="15"/>
      <c r="G10" s="16"/>
      <c r="H10" s="17"/>
      <c r="I10" s="17"/>
      <c r="J10" s="17"/>
      <c r="K10" s="18"/>
    </row>
    <row r="11" spans="2:11" ht="15" thickBot="1">
      <c r="B11" s="19"/>
      <c r="C11" s="20"/>
      <c r="D11" s="20"/>
      <c r="E11" s="20"/>
      <c r="F11" s="20"/>
      <c r="G11" s="21"/>
      <c r="H11" s="4"/>
      <c r="I11" s="4"/>
      <c r="J11" s="4"/>
      <c r="K11" s="5"/>
    </row>
    <row r="12" spans="2:11" ht="8.25" customHeight="1" thickBot="1">
      <c r="B12" s="22"/>
      <c r="C12" s="23"/>
      <c r="D12" s="23"/>
      <c r="E12" s="23"/>
      <c r="F12" s="23"/>
      <c r="G12" s="24"/>
      <c r="H12" s="25"/>
      <c r="I12" s="25"/>
      <c r="J12" s="25"/>
      <c r="K12" s="26"/>
    </row>
    <row r="13" spans="2:11" ht="15" thickBot="1">
      <c r="B13" s="146" t="s">
        <v>43</v>
      </c>
      <c r="C13" s="147"/>
      <c r="D13" s="147"/>
      <c r="E13" s="148"/>
      <c r="F13" s="159" t="s">
        <v>44</v>
      </c>
      <c r="G13" s="160"/>
      <c r="H13" s="161"/>
      <c r="I13" s="159" t="s">
        <v>45</v>
      </c>
      <c r="J13" s="162"/>
      <c r="K13" s="161"/>
    </row>
    <row r="14" spans="2:11" ht="15" thickBot="1">
      <c r="B14" s="149"/>
      <c r="C14" s="150"/>
      <c r="D14" s="150"/>
      <c r="E14" s="151"/>
      <c r="F14" s="27" t="s">
        <v>46</v>
      </c>
      <c r="G14" s="28" t="s">
        <v>47</v>
      </c>
      <c r="H14" s="29" t="s">
        <v>48</v>
      </c>
      <c r="I14" s="30" t="s">
        <v>46</v>
      </c>
      <c r="J14" s="28" t="s">
        <v>47</v>
      </c>
      <c r="K14" s="31" t="s">
        <v>48</v>
      </c>
    </row>
    <row r="15" spans="2:11">
      <c r="B15" s="152" t="s">
        <v>49</v>
      </c>
      <c r="C15" s="153"/>
      <c r="D15" s="153"/>
      <c r="E15" s="154"/>
      <c r="F15" s="32">
        <f>$G$9*97%</f>
        <v>3880</v>
      </c>
      <c r="G15" s="33">
        <v>2.4E-2</v>
      </c>
      <c r="H15" s="34">
        <f>F15*G15</f>
        <v>93.12</v>
      </c>
      <c r="I15" s="35"/>
      <c r="J15" s="33"/>
      <c r="K15" s="12"/>
    </row>
    <row r="16" spans="2:11">
      <c r="B16" s="123" t="s">
        <v>50</v>
      </c>
      <c r="C16" s="124"/>
      <c r="D16" s="124"/>
      <c r="E16" s="124"/>
      <c r="F16" s="36">
        <f>$G$9*97%</f>
        <v>3880</v>
      </c>
      <c r="G16" s="37">
        <v>5.0000000000000001E-3</v>
      </c>
      <c r="H16" s="34">
        <f>F16*G16</f>
        <v>19.400000000000002</v>
      </c>
      <c r="I16" s="38"/>
      <c r="J16" s="37"/>
      <c r="K16" s="12"/>
    </row>
    <row r="17" spans="2:11">
      <c r="B17" s="123" t="s">
        <v>51</v>
      </c>
      <c r="C17" s="124"/>
      <c r="D17" s="124"/>
      <c r="E17" s="124"/>
      <c r="F17" s="36">
        <f>$G$9*97%</f>
        <v>3880</v>
      </c>
      <c r="G17" s="37">
        <v>5.0999999999999997E-2</v>
      </c>
      <c r="H17" s="34">
        <f>F17*G17</f>
        <v>197.88</v>
      </c>
      <c r="I17" s="38"/>
      <c r="J17" s="37"/>
      <c r="K17" s="12"/>
    </row>
    <row r="18" spans="2:11">
      <c r="B18" s="121" t="s">
        <v>52</v>
      </c>
      <c r="C18" s="122"/>
      <c r="D18" s="122"/>
      <c r="E18" s="122"/>
      <c r="F18" s="38"/>
      <c r="G18" s="37"/>
      <c r="H18" s="34"/>
      <c r="I18" s="38"/>
      <c r="J18" s="37"/>
      <c r="K18" s="12"/>
    </row>
    <row r="19" spans="2:11">
      <c r="B19" s="126" t="s">
        <v>53</v>
      </c>
      <c r="C19" s="124"/>
      <c r="D19" s="124"/>
      <c r="E19" s="124"/>
      <c r="F19" s="38">
        <f>$G$9</f>
        <v>4000</v>
      </c>
      <c r="G19" s="37">
        <v>7.4999999999999997E-3</v>
      </c>
      <c r="H19" s="34">
        <f>F19*G19</f>
        <v>30</v>
      </c>
      <c r="I19" s="38">
        <f>$G$9</f>
        <v>4000</v>
      </c>
      <c r="J19" s="37">
        <v>0.128</v>
      </c>
      <c r="K19" s="11">
        <f>I19*J19</f>
        <v>512</v>
      </c>
    </row>
    <row r="20" spans="2:11">
      <c r="B20" s="123" t="s">
        <v>54</v>
      </c>
      <c r="C20" s="124"/>
      <c r="D20" s="124"/>
      <c r="E20" s="124"/>
      <c r="F20" s="38">
        <f>$G$9</f>
        <v>4000</v>
      </c>
      <c r="G20" s="37">
        <v>1E-3</v>
      </c>
      <c r="H20" s="34">
        <f>F20*G20</f>
        <v>4</v>
      </c>
      <c r="I20" s="38"/>
      <c r="J20" s="37"/>
      <c r="K20" s="11"/>
    </row>
    <row r="21" spans="2:11">
      <c r="B21" s="121" t="s">
        <v>55</v>
      </c>
      <c r="C21" s="122"/>
      <c r="D21" s="122"/>
      <c r="E21" s="122"/>
      <c r="F21" s="38"/>
      <c r="G21" s="37"/>
      <c r="H21" s="34"/>
      <c r="I21" s="38"/>
      <c r="J21" s="37"/>
      <c r="K21" s="11"/>
    </row>
    <row r="22" spans="2:11">
      <c r="B22" s="123" t="s">
        <v>56</v>
      </c>
      <c r="C22" s="124"/>
      <c r="D22" s="124"/>
      <c r="E22" s="124"/>
      <c r="F22" s="38">
        <f>$G$9</f>
        <v>4000</v>
      </c>
      <c r="G22" s="37">
        <v>6.5500000000000003E-2</v>
      </c>
      <c r="H22" s="34">
        <f>F22*G22</f>
        <v>262</v>
      </c>
      <c r="I22" s="38">
        <f>$G$9</f>
        <v>4000</v>
      </c>
      <c r="J22" s="37">
        <v>1.6E-2</v>
      </c>
      <c r="K22" s="11">
        <f>I22*J22</f>
        <v>64</v>
      </c>
    </row>
    <row r="23" spans="2:11">
      <c r="B23" s="123" t="s">
        <v>57</v>
      </c>
      <c r="C23" s="124"/>
      <c r="D23" s="124"/>
      <c r="E23" s="124"/>
      <c r="F23" s="38"/>
      <c r="G23" s="37"/>
      <c r="H23" s="34"/>
      <c r="I23" s="38">
        <f>IF(I9&gt;0,#REF!, G9)</f>
        <v>4000</v>
      </c>
      <c r="J23" s="37">
        <v>8.2000000000000003E-2</v>
      </c>
      <c r="K23" s="11">
        <f>I23*J23</f>
        <v>328</v>
      </c>
    </row>
    <row r="24" spans="2:11">
      <c r="B24" s="123" t="s">
        <v>58</v>
      </c>
      <c r="C24" s="124"/>
      <c r="D24" s="124"/>
      <c r="E24" s="124"/>
      <c r="F24" s="38"/>
      <c r="G24" s="37"/>
      <c r="H24" s="34"/>
      <c r="I24" s="38">
        <f>$G$9</f>
        <v>4000</v>
      </c>
      <c r="J24" s="37">
        <v>7.2999999999999995E-2</v>
      </c>
      <c r="K24" s="11">
        <f>I24*J24</f>
        <v>292</v>
      </c>
    </row>
    <row r="25" spans="2:11">
      <c r="B25" s="123" t="s">
        <v>59</v>
      </c>
      <c r="C25" s="124"/>
      <c r="D25" s="124"/>
      <c r="E25" s="124"/>
      <c r="F25" s="38"/>
      <c r="G25" s="37"/>
      <c r="H25" s="34"/>
      <c r="I25" s="38">
        <f>$G$9</f>
        <v>4000</v>
      </c>
      <c r="J25" s="37">
        <v>5.3999999999999999E-2</v>
      </c>
      <c r="K25" s="11">
        <f>I25*J25</f>
        <v>216</v>
      </c>
    </row>
    <row r="26" spans="2:11">
      <c r="B26" s="121" t="s">
        <v>60</v>
      </c>
      <c r="C26" s="122"/>
      <c r="D26" s="122"/>
      <c r="E26" s="122"/>
      <c r="F26" s="38"/>
      <c r="G26" s="37"/>
      <c r="H26" s="34"/>
      <c r="I26" s="38"/>
      <c r="J26" s="37"/>
      <c r="K26" s="11"/>
    </row>
    <row r="27" spans="2:11">
      <c r="B27" s="123" t="s">
        <v>61</v>
      </c>
      <c r="C27" s="124"/>
      <c r="D27" s="124"/>
      <c r="E27" s="124"/>
      <c r="F27" s="38"/>
      <c r="G27" s="37"/>
      <c r="H27" s="34"/>
      <c r="I27" s="38">
        <f>$G$9</f>
        <v>4000</v>
      </c>
      <c r="J27" s="37">
        <v>4.0000000000000001E-3</v>
      </c>
      <c r="K27" s="11">
        <f>I27*J27</f>
        <v>16</v>
      </c>
    </row>
    <row r="28" spans="2:11">
      <c r="B28" s="123" t="s">
        <v>62</v>
      </c>
      <c r="C28" s="124"/>
      <c r="D28" s="124"/>
      <c r="E28" s="124"/>
      <c r="F28" s="38"/>
      <c r="G28" s="37"/>
      <c r="H28" s="34"/>
      <c r="I28" s="38">
        <f>$G$9</f>
        <v>4000</v>
      </c>
      <c r="J28" s="37">
        <v>1E-3</v>
      </c>
      <c r="K28" s="11">
        <f>I28*J28</f>
        <v>4</v>
      </c>
    </row>
    <row r="29" spans="2:11">
      <c r="B29" s="121" t="s">
        <v>63</v>
      </c>
      <c r="C29" s="122"/>
      <c r="D29" s="122"/>
      <c r="E29" s="122"/>
      <c r="F29" s="39"/>
      <c r="G29" s="39"/>
      <c r="H29" s="34"/>
      <c r="I29" s="38"/>
      <c r="J29" s="37"/>
      <c r="K29" s="11"/>
    </row>
    <row r="30" spans="2:11">
      <c r="B30" s="123" t="s">
        <v>64</v>
      </c>
      <c r="C30" s="124"/>
      <c r="D30" s="124"/>
      <c r="E30" s="124"/>
      <c r="F30" s="38">
        <f>IF(I9&gt;0, I9,0)</f>
        <v>0</v>
      </c>
      <c r="G30" s="37">
        <v>2.4E-2</v>
      </c>
      <c r="H30" s="34">
        <f>F30*G30</f>
        <v>0</v>
      </c>
      <c r="I30" s="38">
        <f>F30</f>
        <v>0</v>
      </c>
      <c r="J30" s="37">
        <v>0.04</v>
      </c>
      <c r="K30" s="11">
        <f>I30*J30</f>
        <v>0</v>
      </c>
    </row>
    <row r="31" spans="2:11">
      <c r="B31" s="123" t="s">
        <v>65</v>
      </c>
      <c r="C31" s="124"/>
      <c r="D31" s="124"/>
      <c r="E31" s="124"/>
      <c r="F31" s="40"/>
      <c r="G31" s="37"/>
      <c r="H31" s="34"/>
      <c r="I31" s="38">
        <f>$G$9</f>
        <v>4000</v>
      </c>
      <c r="J31" s="37">
        <v>4.0000000000000001E-3</v>
      </c>
      <c r="K31" s="11">
        <f>I31*J31</f>
        <v>16</v>
      </c>
    </row>
    <row r="32" spans="2:11">
      <c r="B32" s="121" t="s">
        <v>66</v>
      </c>
      <c r="C32" s="122"/>
      <c r="D32" s="122"/>
      <c r="E32" s="122"/>
      <c r="F32" s="38"/>
      <c r="G32" s="37"/>
      <c r="H32" s="34"/>
      <c r="I32" s="38"/>
      <c r="J32" s="41"/>
      <c r="K32" s="42"/>
    </row>
    <row r="33" spans="2:12">
      <c r="B33" s="123" t="s">
        <v>67</v>
      </c>
      <c r="C33" s="124"/>
      <c r="D33" s="124"/>
      <c r="E33" s="124"/>
      <c r="F33" s="38">
        <f>F30</f>
        <v>0</v>
      </c>
      <c r="G33" s="37">
        <v>8.4000000000000005E-2</v>
      </c>
      <c r="H33" s="34">
        <f>F33*G33</f>
        <v>0</v>
      </c>
      <c r="I33" s="38">
        <f>F33</f>
        <v>0</v>
      </c>
      <c r="J33" s="37">
        <v>0.13800000000000001</v>
      </c>
      <c r="K33" s="11">
        <f>I33*J33</f>
        <v>0</v>
      </c>
    </row>
    <row r="34" spans="2:12">
      <c r="B34" s="126" t="s">
        <v>68</v>
      </c>
      <c r="C34" s="124"/>
      <c r="D34" s="124"/>
      <c r="E34" s="124"/>
      <c r="F34" s="38">
        <f>$G$9</f>
        <v>4000</v>
      </c>
      <c r="G34" s="37">
        <v>2.4000000000000001E-4</v>
      </c>
      <c r="H34" s="34">
        <f>F34*G34</f>
        <v>0.96000000000000008</v>
      </c>
      <c r="I34" s="38">
        <f>$G$9</f>
        <v>4000</v>
      </c>
      <c r="J34" s="37">
        <v>3.6000000000000002E-4</v>
      </c>
      <c r="K34" s="11">
        <f>I34*J34</f>
        <v>1.4400000000000002</v>
      </c>
    </row>
    <row r="35" spans="2:12">
      <c r="B35" s="126" t="s">
        <v>69</v>
      </c>
      <c r="C35" s="124"/>
      <c r="D35" s="124"/>
      <c r="E35" s="124"/>
      <c r="F35" s="38"/>
      <c r="G35" s="37"/>
      <c r="H35" s="34"/>
      <c r="I35" s="38">
        <f>$G$9</f>
        <v>4000</v>
      </c>
      <c r="J35" s="37">
        <v>1.4999999999999999E-2</v>
      </c>
      <c r="K35" s="11">
        <f>I35*J35</f>
        <v>60</v>
      </c>
    </row>
    <row r="36" spans="2:12" ht="15" thickBot="1">
      <c r="B36" s="127" t="s">
        <v>70</v>
      </c>
      <c r="C36" s="128"/>
      <c r="D36" s="128"/>
      <c r="E36" s="128"/>
      <c r="F36" s="43">
        <f>$G$9</f>
        <v>4000</v>
      </c>
      <c r="G36" s="44">
        <v>1.2999999999999999E-3</v>
      </c>
      <c r="H36" s="16">
        <f>F36*G36</f>
        <v>5.2</v>
      </c>
      <c r="I36" s="43">
        <f>$G$9</f>
        <v>4000</v>
      </c>
      <c r="J36" s="44">
        <v>2.2000000000000001E-3</v>
      </c>
      <c r="K36" s="11">
        <f>I36*J36</f>
        <v>8.8000000000000007</v>
      </c>
    </row>
    <row r="37" spans="2:12" ht="16" thickBot="1">
      <c r="B37" s="129" t="s">
        <v>71</v>
      </c>
      <c r="C37" s="130"/>
      <c r="D37" s="130"/>
      <c r="E37" s="131"/>
      <c r="F37" s="45"/>
      <c r="G37" s="45"/>
      <c r="H37" s="46">
        <f>SUM(H15:H36)</f>
        <v>612.56000000000006</v>
      </c>
      <c r="I37" s="45"/>
      <c r="J37" s="45"/>
      <c r="K37" s="47">
        <f>SUM(K15:K36)</f>
        <v>1518.24</v>
      </c>
      <c r="L37" s="45"/>
    </row>
    <row r="38" spans="2:12" ht="6.75" customHeight="1" thickBot="1">
      <c r="B38" s="132"/>
      <c r="C38" s="133"/>
      <c r="D38" s="133"/>
      <c r="E38" s="133"/>
      <c r="F38" s="45"/>
      <c r="G38" s="45"/>
      <c r="H38" s="45"/>
      <c r="I38" s="45"/>
      <c r="J38" s="45"/>
      <c r="K38" s="48"/>
      <c r="L38" s="45"/>
    </row>
    <row r="39" spans="2:12" ht="15" thickBot="1">
      <c r="B39" s="134"/>
      <c r="C39" s="135"/>
      <c r="D39" s="135"/>
      <c r="E39" s="135"/>
      <c r="F39" s="49"/>
      <c r="G39" s="49"/>
      <c r="H39" s="49"/>
      <c r="I39" s="49"/>
      <c r="J39" s="49"/>
      <c r="K39" s="50"/>
    </row>
    <row r="40" spans="2:12" ht="5.25" customHeight="1" thickBot="1">
      <c r="B40" s="22"/>
      <c r="C40" s="23"/>
      <c r="D40" s="23"/>
      <c r="E40" s="23"/>
      <c r="F40" s="25"/>
      <c r="G40" s="25"/>
      <c r="H40" s="25"/>
      <c r="I40" s="25"/>
      <c r="J40" s="25"/>
      <c r="K40" s="26"/>
    </row>
    <row r="41" spans="2:12" ht="19" thickBot="1">
      <c r="B41" s="51"/>
      <c r="C41" s="52"/>
      <c r="D41" s="52"/>
      <c r="E41" s="52"/>
      <c r="F41" s="25"/>
      <c r="G41" s="26"/>
      <c r="H41" s="53" t="s">
        <v>72</v>
      </c>
      <c r="I41" s="54"/>
      <c r="J41" s="54"/>
      <c r="K41" s="55">
        <f>G9-H37</f>
        <v>3387.44</v>
      </c>
    </row>
    <row r="42" spans="2:12" ht="7.5" customHeight="1">
      <c r="B42" s="51"/>
      <c r="C42" s="52"/>
      <c r="D42" s="52"/>
      <c r="E42" s="52"/>
      <c r="F42" s="25"/>
      <c r="G42" s="25"/>
      <c r="H42" s="52"/>
      <c r="I42" s="25"/>
      <c r="J42" s="25"/>
      <c r="K42" s="56"/>
    </row>
    <row r="43" spans="2:12" ht="16.5" customHeight="1">
      <c r="B43" s="57"/>
      <c r="C43" s="52"/>
      <c r="D43" s="52"/>
      <c r="E43" s="52"/>
      <c r="F43" s="25"/>
      <c r="G43" s="25"/>
      <c r="H43" s="58" t="s">
        <v>73</v>
      </c>
      <c r="I43" s="59"/>
      <c r="J43" s="59"/>
      <c r="K43" s="60">
        <f>K41+H15</f>
        <v>3480.56</v>
      </c>
    </row>
    <row r="44" spans="2:12" ht="4.5" customHeight="1" thickBot="1">
      <c r="B44" s="51"/>
      <c r="C44" s="52"/>
      <c r="D44" s="52"/>
      <c r="E44" s="52"/>
      <c r="F44" s="25"/>
      <c r="G44" s="25"/>
      <c r="H44" s="61"/>
      <c r="I44" s="25"/>
      <c r="J44" s="25"/>
      <c r="K44" s="26"/>
    </row>
    <row r="45" spans="2:12" ht="15" thickBot="1">
      <c r="B45" s="136" t="s">
        <v>74</v>
      </c>
      <c r="C45" s="137"/>
      <c r="D45" s="137"/>
      <c r="E45" s="137"/>
      <c r="F45" s="137"/>
      <c r="G45" s="137"/>
      <c r="H45" s="137"/>
      <c r="I45" s="137"/>
      <c r="J45" s="137"/>
      <c r="K45" s="138"/>
    </row>
    <row r="46" spans="2:12" ht="7.5" customHeight="1">
      <c r="F46" s="45"/>
    </row>
    <row r="47" spans="2:12" ht="6.75" customHeight="1">
      <c r="F47" s="45"/>
    </row>
    <row r="48" spans="2:12">
      <c r="F48" s="45"/>
    </row>
    <row r="49" spans="2:7">
      <c r="F49" s="45"/>
    </row>
    <row r="50" spans="2:7">
      <c r="F50" s="45"/>
    </row>
    <row r="51" spans="2:7">
      <c r="F51" s="45"/>
    </row>
    <row r="52" spans="2:7">
      <c r="F52" s="45"/>
    </row>
    <row r="53" spans="2:7">
      <c r="B53" s="125"/>
      <c r="C53" s="125"/>
      <c r="D53" s="125"/>
      <c r="E53" s="125"/>
      <c r="F53" s="125"/>
      <c r="G53" s="125"/>
    </row>
  </sheetData>
  <mergeCells count="47">
    <mergeCell ref="B27:E27"/>
    <mergeCell ref="B28:E28"/>
    <mergeCell ref="B29:E29"/>
    <mergeCell ref="B24:E24"/>
    <mergeCell ref="B25:E25"/>
    <mergeCell ref="B18:E18"/>
    <mergeCell ref="B19:E19"/>
    <mergeCell ref="B20:E20"/>
    <mergeCell ref="B1:K1"/>
    <mergeCell ref="B2:F2"/>
    <mergeCell ref="G2:K2"/>
    <mergeCell ref="B3:C3"/>
    <mergeCell ref="D3:F3"/>
    <mergeCell ref="G3:H3"/>
    <mergeCell ref="D5:F5"/>
    <mergeCell ref="G5:H5"/>
    <mergeCell ref="I5:K5"/>
    <mergeCell ref="I3:K3"/>
    <mergeCell ref="I4:K4"/>
    <mergeCell ref="B15:E15"/>
    <mergeCell ref="B16:E16"/>
    <mergeCell ref="B17:E17"/>
    <mergeCell ref="I7:K7"/>
    <mergeCell ref="B9:F9"/>
    <mergeCell ref="F13:H13"/>
    <mergeCell ref="I13:K13"/>
    <mergeCell ref="B6:C6"/>
    <mergeCell ref="G6:H6"/>
    <mergeCell ref="D6:F6"/>
    <mergeCell ref="I6:K6"/>
    <mergeCell ref="B13:E14"/>
    <mergeCell ref="B21:E21"/>
    <mergeCell ref="B22:E22"/>
    <mergeCell ref="B53:G53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5:K45"/>
    <mergeCell ref="B23:E23"/>
    <mergeCell ref="B26:E2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 enableFormatConditionsCalculation="0"/>
  <dimension ref="A1:T27"/>
  <sheetViews>
    <sheetView workbookViewId="0">
      <selection activeCell="M1" sqref="M1:O4"/>
    </sheetView>
  </sheetViews>
  <sheetFormatPr baseColWidth="10" defaultRowHeight="14" x14ac:dyDescent="0"/>
  <cols>
    <col min="1" max="1" width="10.6640625" bestFit="1" customWidth="1"/>
    <col min="2" max="2" width="18.33203125" customWidth="1"/>
    <col min="3" max="3" width="21.5" customWidth="1"/>
    <col min="4" max="4" width="13.5" bestFit="1" customWidth="1"/>
    <col min="5" max="5" width="17.5" bestFit="1" customWidth="1"/>
    <col min="6" max="6" width="14" customWidth="1"/>
    <col min="8" max="8" width="28" bestFit="1" customWidth="1"/>
    <col min="9" max="9" width="14.33203125" bestFit="1" customWidth="1"/>
    <col min="15" max="15" width="18" bestFit="1" customWidth="1"/>
  </cols>
  <sheetData>
    <row r="1" spans="1:20" ht="42" customHeight="1">
      <c r="A1" s="176" t="s">
        <v>102</v>
      </c>
      <c r="B1" s="177"/>
      <c r="C1" s="177"/>
      <c r="D1" s="177"/>
      <c r="E1" s="177"/>
      <c r="F1" s="178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 ht="15" thickBot="1">
      <c r="M2">
        <f>'BDD unique'!A15</f>
        <v>2</v>
      </c>
      <c r="N2" t="str">
        <f>'BDD unique'!B15</f>
        <v>BMW série 3</v>
      </c>
      <c r="O2" t="str">
        <f t="shared" ref="O2" si="0"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 t="shared" ref="T2" si="1">CONCATENATE(Q2," : ",R2," ",S2)</f>
        <v>7 : Faure Michel</v>
      </c>
    </row>
    <row r="3" spans="1:20">
      <c r="A3" s="87" t="s">
        <v>103</v>
      </c>
      <c r="B3" s="88"/>
      <c r="C3" s="89" t="s">
        <v>105</v>
      </c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>
      <c r="A4" s="90" t="s">
        <v>104</v>
      </c>
      <c r="B4" s="91"/>
      <c r="C4" s="92">
        <v>10</v>
      </c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5" spans="1:20" ht="15" thickBot="1">
      <c r="A5" s="93" t="s">
        <v>106</v>
      </c>
      <c r="B5" s="94"/>
      <c r="C5" s="95" t="s">
        <v>113</v>
      </c>
    </row>
    <row r="7" spans="1:20" ht="3.75" customHeight="1"/>
    <row r="8" spans="1:20" ht="3.75" customHeight="1"/>
    <row r="9" spans="1:20">
      <c r="A9" s="96" t="s">
        <v>107</v>
      </c>
    </row>
    <row r="10" spans="1:20">
      <c r="A10" s="84" t="s">
        <v>84</v>
      </c>
      <c r="B10" s="84" t="s">
        <v>85</v>
      </c>
      <c r="C10" s="84" t="s">
        <v>90</v>
      </c>
      <c r="D10" s="84" t="s">
        <v>86</v>
      </c>
      <c r="E10" s="84" t="s">
        <v>96</v>
      </c>
      <c r="F10" s="84" t="s">
        <v>91</v>
      </c>
    </row>
    <row r="11" spans="1:20">
      <c r="A11" s="80">
        <v>42009</v>
      </c>
      <c r="B11" s="67">
        <v>2</v>
      </c>
      <c r="C11" s="67">
        <v>2</v>
      </c>
      <c r="D11" s="67">
        <v>7</v>
      </c>
      <c r="E11" s="79">
        <f>VLOOKUP(B11,'BDD unique'!$A$14:$D$17,3,FALSE)</f>
        <v>32000</v>
      </c>
      <c r="F11" s="79">
        <f t="shared" ref="F11:F23" si="2">E11*C11</f>
        <v>64000</v>
      </c>
    </row>
    <row r="12" spans="1:20">
      <c r="A12" s="80">
        <v>42010</v>
      </c>
      <c r="B12" s="67">
        <v>1</v>
      </c>
      <c r="C12" s="67">
        <v>2</v>
      </c>
      <c r="D12" s="67">
        <v>8</v>
      </c>
      <c r="E12" s="79">
        <f>VLOOKUP(B12,'BDD unique'!$A$14:$D$17,3,FALSE)</f>
        <v>21000</v>
      </c>
      <c r="F12" s="79">
        <f t="shared" si="2"/>
        <v>42000</v>
      </c>
    </row>
    <row r="13" spans="1:20">
      <c r="A13" s="80">
        <v>42011</v>
      </c>
      <c r="B13" s="67">
        <v>3</v>
      </c>
      <c r="C13" s="67">
        <v>15</v>
      </c>
      <c r="D13" s="67">
        <v>6</v>
      </c>
      <c r="E13" s="79">
        <f>VLOOKUP(B13,'BDD unique'!$A$14:$D$17,3,FALSE)</f>
        <v>15000</v>
      </c>
      <c r="F13" s="79">
        <f t="shared" si="2"/>
        <v>225000</v>
      </c>
    </row>
    <row r="14" spans="1:20">
      <c r="A14" s="80">
        <v>42012</v>
      </c>
      <c r="B14" s="67">
        <v>4</v>
      </c>
      <c r="C14" s="67">
        <v>10</v>
      </c>
      <c r="D14" s="67">
        <v>6</v>
      </c>
      <c r="E14" s="79">
        <f>VLOOKUP(B14,'BDD unique'!$A$14:$D$17,3,FALSE)</f>
        <v>10000</v>
      </c>
      <c r="F14" s="79">
        <f t="shared" si="2"/>
        <v>100000</v>
      </c>
    </row>
    <row r="15" spans="1:20">
      <c r="A15" s="80">
        <v>42013</v>
      </c>
      <c r="B15" s="67">
        <v>1</v>
      </c>
      <c r="C15" s="67">
        <v>10</v>
      </c>
      <c r="D15" s="67">
        <v>8</v>
      </c>
      <c r="E15" s="79">
        <f>VLOOKUP(B15,'BDD unique'!$A$14:$D$17,3,FALSE)</f>
        <v>21000</v>
      </c>
      <c r="F15" s="79">
        <f t="shared" si="2"/>
        <v>210000</v>
      </c>
    </row>
    <row r="16" spans="1:20">
      <c r="A16" s="80">
        <v>42014</v>
      </c>
      <c r="B16" s="67">
        <v>2</v>
      </c>
      <c r="C16" s="67">
        <v>3</v>
      </c>
      <c r="D16" s="67">
        <v>8</v>
      </c>
      <c r="E16" s="79">
        <f>VLOOKUP(B16,'BDD unique'!$A$14:$D$17,3,FALSE)</f>
        <v>32000</v>
      </c>
      <c r="F16" s="79">
        <f t="shared" si="2"/>
        <v>96000</v>
      </c>
    </row>
    <row r="17" spans="1:6">
      <c r="A17" s="80">
        <v>42015</v>
      </c>
      <c r="B17" s="67">
        <v>1</v>
      </c>
      <c r="C17" s="67">
        <v>4</v>
      </c>
      <c r="D17" s="67">
        <v>7</v>
      </c>
      <c r="E17" s="79">
        <f>VLOOKUP(B17,'BDD unique'!$A$14:$D$17,3,FALSE)</f>
        <v>21000</v>
      </c>
      <c r="F17" s="79">
        <f t="shared" si="2"/>
        <v>84000</v>
      </c>
    </row>
    <row r="18" spans="1:6">
      <c r="A18" s="80">
        <v>42016</v>
      </c>
      <c r="B18" s="67">
        <v>4</v>
      </c>
      <c r="C18" s="67">
        <v>10</v>
      </c>
      <c r="D18" s="67">
        <v>8</v>
      </c>
      <c r="E18" s="79">
        <f>VLOOKUP(B18,'BDD unique'!$A$14:$D$17,3,FALSE)</f>
        <v>10000</v>
      </c>
      <c r="F18" s="79">
        <f t="shared" si="2"/>
        <v>100000</v>
      </c>
    </row>
    <row r="19" spans="1:6">
      <c r="A19" s="80">
        <v>42017</v>
      </c>
      <c r="B19" s="67">
        <v>1</v>
      </c>
      <c r="C19" s="67">
        <v>10</v>
      </c>
      <c r="D19" s="67">
        <v>7</v>
      </c>
      <c r="E19" s="79">
        <f>VLOOKUP(B19,'BDD unique'!$A$14:$D$17,3,FALSE)</f>
        <v>21000</v>
      </c>
      <c r="F19" s="79">
        <f t="shared" si="2"/>
        <v>210000</v>
      </c>
    </row>
    <row r="20" spans="1:6">
      <c r="A20" s="80">
        <v>42018</v>
      </c>
      <c r="B20" s="67">
        <v>2</v>
      </c>
      <c r="C20" s="67">
        <v>3</v>
      </c>
      <c r="D20" s="67">
        <v>6</v>
      </c>
      <c r="E20" s="79">
        <f>VLOOKUP(B20,'BDD unique'!$A$14:$D$17,3,FALSE)</f>
        <v>32000</v>
      </c>
      <c r="F20" s="79">
        <f t="shared" si="2"/>
        <v>96000</v>
      </c>
    </row>
    <row r="21" spans="1:6">
      <c r="A21" s="80">
        <v>42270</v>
      </c>
      <c r="B21" s="67">
        <v>1</v>
      </c>
      <c r="C21" s="67">
        <v>10</v>
      </c>
      <c r="D21" s="67">
        <v>6</v>
      </c>
      <c r="E21" s="79">
        <f>VLOOKUP(B21,'BDD unique'!$A$14:$D$17,3,FALSE)</f>
        <v>21000</v>
      </c>
      <c r="F21" s="79">
        <f t="shared" si="2"/>
        <v>210000</v>
      </c>
    </row>
    <row r="22" spans="1:6">
      <c r="A22" s="80">
        <v>42270</v>
      </c>
      <c r="B22" s="67">
        <v>4</v>
      </c>
      <c r="C22" s="67">
        <v>3</v>
      </c>
      <c r="D22" s="67">
        <v>6</v>
      </c>
      <c r="E22" s="79">
        <f>VLOOKUP(B22,'BDD unique'!$A$14:$D$17,3,FALSE)</f>
        <v>10000</v>
      </c>
      <c r="F22" s="79">
        <f t="shared" si="2"/>
        <v>30000</v>
      </c>
    </row>
    <row r="23" spans="1:6">
      <c r="A23" s="80">
        <v>42270</v>
      </c>
      <c r="B23" s="67">
        <v>3</v>
      </c>
      <c r="C23" s="67">
        <v>5</v>
      </c>
      <c r="D23" s="67">
        <v>6</v>
      </c>
      <c r="E23" s="79">
        <f>VLOOKUP(B23,'BDD unique'!$A$14:$D$17,3,FALSE)</f>
        <v>15000</v>
      </c>
      <c r="F23" s="79">
        <f t="shared" si="2"/>
        <v>75000</v>
      </c>
    </row>
    <row r="26" spans="1:6">
      <c r="E26" t="s">
        <v>93</v>
      </c>
      <c r="F26" s="106">
        <f>AVERAGE(F11:F23)</f>
        <v>118615.38461538461</v>
      </c>
    </row>
    <row r="27" spans="1:6">
      <c r="E27" t="s">
        <v>92</v>
      </c>
      <c r="F27" s="106">
        <f>SUM(F11:F23)</f>
        <v>1542000</v>
      </c>
    </row>
  </sheetData>
  <sortState ref="A11:F27">
    <sortCondition ref="A11"/>
  </sortState>
  <mergeCells count="1">
    <mergeCell ref="A1:F1"/>
  </mergeCells>
  <dataValidations count="3">
    <dataValidation type="list" allowBlank="1" showInputMessage="1" showErrorMessage="1" sqref="C3">
      <formula1>$O$1:$O$4</formula1>
    </dataValidation>
    <dataValidation type="whole" operator="greaterThan" allowBlank="1" showInputMessage="1" showErrorMessage="1" sqref="C4">
      <formula1>0</formula1>
    </dataValidation>
    <dataValidation type="list" allowBlank="1" showInputMessage="1" showErrorMessage="1" sqref="C5">
      <formula1>$T$1:$T$3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Bouton_vente_Clic">
                <anchor moveWithCells="1" sizeWithCells="1">
                  <from>
                    <xdr:col>3</xdr:col>
                    <xdr:colOff>774700</xdr:colOff>
                    <xdr:row>2</xdr:row>
                    <xdr:rowOff>127000</xdr:rowOff>
                  </from>
                  <to>
                    <xdr:col>4</xdr:col>
                    <xdr:colOff>1358900</xdr:colOff>
                    <xdr:row>5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 enableFormatConditionsCalculation="0"/>
  <dimension ref="A1:T22"/>
  <sheetViews>
    <sheetView topLeftCell="B1" workbookViewId="0">
      <selection activeCell="M1" sqref="M1:O1"/>
    </sheetView>
  </sheetViews>
  <sheetFormatPr baseColWidth="10" defaultRowHeight="14" x14ac:dyDescent="0"/>
  <cols>
    <col min="1" max="1" width="10.6640625" bestFit="1" customWidth="1"/>
    <col min="2" max="2" width="18.5" customWidth="1"/>
    <col min="3" max="3" width="20.5" customWidth="1"/>
    <col min="4" max="4" width="17.1640625" bestFit="1" customWidth="1"/>
    <col min="5" max="5" width="12.83203125" bestFit="1" customWidth="1"/>
  </cols>
  <sheetData>
    <row r="1" spans="1:20" ht="42" customHeight="1" thickBot="1">
      <c r="A1" s="179" t="s">
        <v>108</v>
      </c>
      <c r="B1" s="180"/>
      <c r="C1" s="180"/>
      <c r="D1" s="180"/>
      <c r="E1" s="181"/>
      <c r="F1" s="103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 ht="15" thickBot="1">
      <c r="M2">
        <f>'BDD unique'!A15</f>
        <v>2</v>
      </c>
      <c r="N2" t="str">
        <f>'BDD unique'!B15</f>
        <v>BMW série 3</v>
      </c>
      <c r="O2" t="str">
        <f t="shared" ref="O2" si="0"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 t="shared" ref="T2" si="1">CONCATENATE(Q2," : ",R2," ",S2)</f>
        <v>7 : Faure Michel</v>
      </c>
    </row>
    <row r="3" spans="1:20">
      <c r="A3" s="97" t="s">
        <v>109</v>
      </c>
      <c r="B3" s="98"/>
      <c r="C3" s="99" t="s">
        <v>114</v>
      </c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 ht="15" thickBot="1">
      <c r="A4" s="100" t="s">
        <v>110</v>
      </c>
      <c r="B4" s="101"/>
      <c r="C4" s="102">
        <v>13</v>
      </c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6" spans="1:20" ht="3.75" customHeight="1"/>
    <row r="7" spans="1:20" ht="3.75" customHeight="1"/>
    <row r="8" spans="1:20" ht="3.75" customHeight="1"/>
    <row r="9" spans="1:20">
      <c r="A9" s="96" t="s">
        <v>111</v>
      </c>
    </row>
    <row r="10" spans="1:20">
      <c r="A10" s="82" t="s">
        <v>84</v>
      </c>
      <c r="B10" s="82" t="s">
        <v>87</v>
      </c>
      <c r="C10" s="82" t="s">
        <v>94</v>
      </c>
      <c r="D10" s="82" t="s">
        <v>95</v>
      </c>
      <c r="E10" s="82" t="s">
        <v>91</v>
      </c>
    </row>
    <row r="11" spans="1:20">
      <c r="A11" s="80">
        <v>42006</v>
      </c>
      <c r="B11" s="67">
        <v>1</v>
      </c>
      <c r="C11" s="67">
        <v>20</v>
      </c>
      <c r="D11" s="79">
        <f>VLOOKUP(B11,'BDD unique'!$A$14:$D$17,4,FALSE)</f>
        <v>19000</v>
      </c>
      <c r="E11" s="79">
        <f t="shared" ref="E11:E16" si="2">D11*C11</f>
        <v>380000</v>
      </c>
    </row>
    <row r="12" spans="1:20">
      <c r="A12" s="80">
        <v>42009</v>
      </c>
      <c r="B12" s="67">
        <v>2</v>
      </c>
      <c r="C12" s="67">
        <v>20</v>
      </c>
      <c r="D12" s="79">
        <f>VLOOKUP(B12,'BDD unique'!$A$14:$D$17,4,FALSE)</f>
        <v>31000</v>
      </c>
      <c r="E12" s="79">
        <f t="shared" si="2"/>
        <v>620000</v>
      </c>
    </row>
    <row r="13" spans="1:20">
      <c r="A13" s="80">
        <v>42010</v>
      </c>
      <c r="B13" s="67">
        <v>3</v>
      </c>
      <c r="C13" s="67">
        <v>20</v>
      </c>
      <c r="D13" s="79">
        <f>VLOOKUP(B13,'BDD unique'!$A$14:$D$17,4,FALSE)</f>
        <v>12000</v>
      </c>
      <c r="E13" s="79">
        <f t="shared" si="2"/>
        <v>240000</v>
      </c>
    </row>
    <row r="14" spans="1:20">
      <c r="A14" s="80">
        <v>42010</v>
      </c>
      <c r="B14" s="81">
        <v>4</v>
      </c>
      <c r="C14" s="81">
        <v>20</v>
      </c>
      <c r="D14" s="79">
        <f>VLOOKUP(B14,'BDD unique'!$A$14:$D$17,4,FALSE)</f>
        <v>7000</v>
      </c>
      <c r="E14" s="79">
        <f t="shared" si="2"/>
        <v>140000</v>
      </c>
    </row>
    <row r="15" spans="1:20">
      <c r="A15" s="80">
        <v>42011</v>
      </c>
      <c r="B15" s="81">
        <v>1</v>
      </c>
      <c r="C15" s="81">
        <v>10</v>
      </c>
      <c r="D15" s="79">
        <f>VLOOKUP(B15,'BDD unique'!$A$14:$D$17,4,FALSE)</f>
        <v>19000</v>
      </c>
      <c r="E15" s="79">
        <f t="shared" si="2"/>
        <v>190000</v>
      </c>
    </row>
    <row r="16" spans="1:20">
      <c r="A16" s="80">
        <v>42270</v>
      </c>
      <c r="B16" s="67">
        <v>4</v>
      </c>
      <c r="C16" s="67">
        <v>13</v>
      </c>
      <c r="D16" s="79">
        <f>VLOOKUP(B16,'BDD unique'!$A$14:$D$17,4,FALSE)</f>
        <v>7000</v>
      </c>
      <c r="E16" s="79">
        <f t="shared" si="2"/>
        <v>91000</v>
      </c>
    </row>
    <row r="17" spans="1:5">
      <c r="A17" s="80"/>
      <c r="B17" s="67"/>
      <c r="C17" s="67"/>
      <c r="D17" s="79"/>
      <c r="E17" s="79"/>
    </row>
    <row r="18" spans="1:5">
      <c r="A18" s="80"/>
      <c r="B18" s="67"/>
      <c r="C18" s="67"/>
      <c r="D18" s="79"/>
      <c r="E18" s="79"/>
    </row>
    <row r="21" spans="1:5">
      <c r="D21" t="s">
        <v>93</v>
      </c>
      <c r="E21" s="106">
        <f>AVERAGE(E11:E18)</f>
        <v>276833.33333333331</v>
      </c>
    </row>
    <row r="22" spans="1:5">
      <c r="D22" t="s">
        <v>92</v>
      </c>
      <c r="E22" s="106">
        <f>SUM(E6:E18)</f>
        <v>1661000</v>
      </c>
    </row>
  </sheetData>
  <sortState ref="A11:F22">
    <sortCondition ref="A11"/>
  </sortState>
  <mergeCells count="1">
    <mergeCell ref="A1:E1"/>
  </mergeCells>
  <dataValidations count="2">
    <dataValidation type="whole" operator="greaterThan" allowBlank="1" showInputMessage="1" showErrorMessage="1" sqref="C4">
      <formula1>0</formula1>
    </dataValidation>
    <dataValidation type="list" allowBlank="1" showInputMessage="1" showErrorMessage="1" sqref="C3">
      <formula1>$O$1:$O$4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outon_achat">
              <controlPr defaultSize="0" print="0" autoFill="0" autoPict="0" macro="[0]!Bouton_achat_Clic">
                <anchor moveWithCells="1" sizeWithCells="1">
                  <from>
                    <xdr:col>3</xdr:col>
                    <xdr:colOff>495300</xdr:colOff>
                    <xdr:row>2</xdr:row>
                    <xdr:rowOff>12700</xdr:rowOff>
                  </from>
                  <to>
                    <xdr:col>4</xdr:col>
                    <xdr:colOff>520700</xdr:colOff>
                    <xdr:row>3</xdr:row>
                    <xdr:rowOff>177800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 enableFormatConditionsCalculation="0"/>
  <dimension ref="A1:G14"/>
  <sheetViews>
    <sheetView workbookViewId="0">
      <selection activeCell="E15" sqref="E15"/>
    </sheetView>
  </sheetViews>
  <sheetFormatPr baseColWidth="10" defaultRowHeight="14" x14ac:dyDescent="0"/>
  <cols>
    <col min="2" max="2" width="15.5" bestFit="1" customWidth="1"/>
    <col min="3" max="3" width="15.5" customWidth="1"/>
    <col min="7" max="7" width="13.5" customWidth="1"/>
  </cols>
  <sheetData>
    <row r="1" spans="1:7" ht="42" customHeight="1" thickBot="1">
      <c r="A1" s="182" t="s">
        <v>112</v>
      </c>
      <c r="B1" s="183"/>
      <c r="C1" s="183"/>
      <c r="D1" s="183"/>
      <c r="E1" s="183"/>
      <c r="F1" s="183"/>
      <c r="G1" s="184"/>
    </row>
    <row r="2" spans="1:7" ht="9.75" customHeight="1"/>
    <row r="3" spans="1:7" ht="6" customHeight="1"/>
    <row r="4" spans="1:7" ht="2.25" customHeight="1"/>
    <row r="6" spans="1:7" ht="28">
      <c r="A6" s="86" t="s">
        <v>97</v>
      </c>
      <c r="B6" s="86" t="s">
        <v>98</v>
      </c>
      <c r="C6" s="108" t="s">
        <v>116</v>
      </c>
      <c r="D6" s="86" t="s">
        <v>99</v>
      </c>
      <c r="E6" s="86" t="s">
        <v>100</v>
      </c>
      <c r="F6" s="86" t="s">
        <v>101</v>
      </c>
      <c r="G6" s="86" t="s">
        <v>117</v>
      </c>
    </row>
    <row r="7" spans="1:7">
      <c r="A7" s="85">
        <f>'BDD unique'!A14</f>
        <v>1</v>
      </c>
      <c r="B7" s="85" t="str">
        <f>'BDD unique'!B14</f>
        <v>Peugeot 406</v>
      </c>
      <c r="C7" s="85">
        <f>'BDD unique'!D14</f>
        <v>19000</v>
      </c>
      <c r="D7" s="85">
        <f>SUMIF(Vente!B:B,A7,Vente!C:C)</f>
        <v>36</v>
      </c>
      <c r="E7" s="85">
        <f>SUMIF(Achat!B:B,A7,Achat!C:C)</f>
        <v>30</v>
      </c>
      <c r="F7" s="85">
        <f>E7-D7</f>
        <v>-6</v>
      </c>
      <c r="G7" s="109">
        <f>IF(F7&gt;0,F7*C7,0)</f>
        <v>0</v>
      </c>
    </row>
    <row r="8" spans="1:7">
      <c r="A8" s="67">
        <f>'BDD unique'!A15</f>
        <v>2</v>
      </c>
      <c r="B8" s="67" t="str">
        <f>'BDD unique'!B15</f>
        <v>BMW série 3</v>
      </c>
      <c r="C8" s="85">
        <f>'BDD unique'!D15</f>
        <v>31000</v>
      </c>
      <c r="D8" s="67">
        <f>SUMIF(Vente!B:B,A8,Vente!C:C)</f>
        <v>8</v>
      </c>
      <c r="E8" s="67">
        <f>SUMIF(Achat!B:B,A8,Achat!C:C)</f>
        <v>20</v>
      </c>
      <c r="F8" s="85">
        <f t="shared" ref="F8:F10" si="0">E8-D8</f>
        <v>12</v>
      </c>
      <c r="G8" s="109">
        <f t="shared" ref="G8:G10" si="1">IF(F8&gt;0,F8*C8,0)</f>
        <v>372000</v>
      </c>
    </row>
    <row r="9" spans="1:7">
      <c r="A9" s="67">
        <f>'BDD unique'!A16</f>
        <v>3</v>
      </c>
      <c r="B9" s="67" t="str">
        <f>'BDD unique'!B16</f>
        <v>Renault mégane</v>
      </c>
      <c r="C9" s="85">
        <f>'BDD unique'!D16</f>
        <v>12000</v>
      </c>
      <c r="D9" s="67">
        <f>SUMIF(Vente!B:B,A9,Vente!C:C)</f>
        <v>20</v>
      </c>
      <c r="E9" s="67">
        <f>SUMIF(Achat!B:B,A9,Achat!C:C)</f>
        <v>20</v>
      </c>
      <c r="F9" s="85">
        <f t="shared" si="0"/>
        <v>0</v>
      </c>
      <c r="G9" s="109">
        <f t="shared" si="1"/>
        <v>0</v>
      </c>
    </row>
    <row r="10" spans="1:7">
      <c r="A10" s="67">
        <f>'BDD unique'!A17</f>
        <v>4</v>
      </c>
      <c r="B10" s="67" t="str">
        <f>'BDD unique'!B17</f>
        <v>Renault clio</v>
      </c>
      <c r="C10" s="85">
        <f>'BDD unique'!D17</f>
        <v>7000</v>
      </c>
      <c r="D10" s="67">
        <f>SUMIF(Vente!B:B,A10,Vente!C:C)</f>
        <v>23</v>
      </c>
      <c r="E10" s="67">
        <f>SUMIF(Achat!B:B,A10,Achat!C:C)</f>
        <v>33</v>
      </c>
      <c r="F10" s="85">
        <f t="shared" si="0"/>
        <v>10</v>
      </c>
      <c r="G10" s="109">
        <f t="shared" si="1"/>
        <v>70000</v>
      </c>
    </row>
    <row r="14" spans="1:7">
      <c r="F14" t="s">
        <v>92</v>
      </c>
      <c r="G14" s="110">
        <f>SUM(G7:G13)</f>
        <v>442000</v>
      </c>
    </row>
  </sheetData>
  <mergeCells count="1">
    <mergeCell ref="A1:G1"/>
  </mergeCells>
  <conditionalFormatting sqref="F7:F10">
    <cfRule type="cellIs" dxfId="1" priority="1" operator="between">
      <formula>0</formula>
      <formula>5</formula>
    </cfRule>
    <cfRule type="cellIs" dxfId="0" priority="2" operator="lessThan">
      <formula>0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 enableFormatConditionsCalculation="0"/>
  <dimension ref="A1:G15"/>
  <sheetViews>
    <sheetView workbookViewId="0">
      <selection activeCell="B13" sqref="B13"/>
    </sheetView>
  </sheetViews>
  <sheetFormatPr baseColWidth="10" defaultRowHeight="14" x14ac:dyDescent="0"/>
  <cols>
    <col min="1" max="1" width="16.33203125" bestFit="1" customWidth="1"/>
    <col min="2" max="3" width="12.83203125" bestFit="1" customWidth="1"/>
  </cols>
  <sheetData>
    <row r="1" spans="1:7" ht="36" thickBot="1">
      <c r="A1" s="182" t="s">
        <v>123</v>
      </c>
      <c r="B1" s="183"/>
      <c r="C1" s="183"/>
      <c r="D1" s="183"/>
      <c r="E1" s="183"/>
      <c r="F1" s="183"/>
      <c r="G1" s="184"/>
    </row>
    <row r="3" spans="1:7">
      <c r="A3" s="113" t="s">
        <v>118</v>
      </c>
    </row>
    <row r="5" spans="1:7">
      <c r="B5" s="111" t="s">
        <v>120</v>
      </c>
      <c r="C5" s="111" t="s">
        <v>121</v>
      </c>
    </row>
    <row r="6" spans="1:7">
      <c r="A6" s="111" t="s">
        <v>119</v>
      </c>
      <c r="B6" s="112">
        <f>SUM('BDD unique'!F3:F10)*12</f>
        <v>382800</v>
      </c>
      <c r="C6" s="112"/>
    </row>
    <row r="7" spans="1:7">
      <c r="A7" s="111" t="s">
        <v>126</v>
      </c>
      <c r="B7" s="112"/>
      <c r="C7" s="114">
        <f>Vente!F27</f>
        <v>1542000</v>
      </c>
    </row>
    <row r="8" spans="1:7">
      <c r="A8" s="111" t="s">
        <v>127</v>
      </c>
      <c r="B8" s="112">
        <f>Achat!E22</f>
        <v>1661000</v>
      </c>
      <c r="C8" s="112"/>
    </row>
    <row r="9" spans="1:7">
      <c r="A9" s="111" t="s">
        <v>117</v>
      </c>
      <c r="B9" s="112"/>
      <c r="C9" s="112">
        <f>Stock!G14</f>
        <v>442000</v>
      </c>
    </row>
    <row r="10" spans="1:7" ht="15" thickBot="1">
      <c r="A10" s="111" t="s">
        <v>124</v>
      </c>
      <c r="B10" s="115">
        <f>B8*5%</f>
        <v>83050</v>
      </c>
      <c r="C10" s="115"/>
    </row>
    <row r="11" spans="1:7" ht="15" thickBot="1">
      <c r="A11" s="111" t="s">
        <v>92</v>
      </c>
      <c r="B11" s="116">
        <f>SUM(B6:B10)</f>
        <v>2126850</v>
      </c>
      <c r="C11" s="117">
        <f>SUM(C6:C10)</f>
        <v>1984000</v>
      </c>
    </row>
    <row r="15" spans="1:7">
      <c r="A15" s="113" t="s">
        <v>125</v>
      </c>
      <c r="B15" s="118">
        <f>C11-B11</f>
        <v>-142850</v>
      </c>
    </row>
  </sheetData>
  <mergeCells count="1">
    <mergeCell ref="A1:G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 enableFormatConditionsCalculation="0"/>
  <dimension ref="A1:T56"/>
  <sheetViews>
    <sheetView topLeftCell="A7" workbookViewId="0">
      <selection activeCell="F54" sqref="F54"/>
    </sheetView>
  </sheetViews>
  <sheetFormatPr baseColWidth="10" defaultRowHeight="14" x14ac:dyDescent="0"/>
  <cols>
    <col min="1" max="1" width="20.33203125" customWidth="1"/>
    <col min="2" max="2" width="15.83203125" bestFit="1" customWidth="1"/>
    <col min="3" max="3" width="18" bestFit="1" customWidth="1"/>
    <col min="4" max="4" width="19.1640625" customWidth="1"/>
    <col min="5" max="5" width="17.5" bestFit="1" customWidth="1"/>
    <col min="17" max="17" width="2" bestFit="1" customWidth="1"/>
    <col min="18" max="18" width="7.83203125" bestFit="1" customWidth="1"/>
    <col min="19" max="19" width="7.1640625" bestFit="1" customWidth="1"/>
    <col min="20" max="20" width="15.83203125" bestFit="1" customWidth="1"/>
  </cols>
  <sheetData>
    <row r="1" spans="1:20" ht="89.25" customHeight="1" thickBot="1">
      <c r="A1" s="186" t="s">
        <v>130</v>
      </c>
      <c r="B1" s="187"/>
      <c r="C1" s="187"/>
      <c r="D1" s="187"/>
      <c r="E1" s="187"/>
      <c r="F1" s="187"/>
      <c r="G1" s="188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>
      <c r="A2" s="185"/>
      <c r="B2" s="185"/>
      <c r="C2" s="185"/>
      <c r="D2" s="185"/>
      <c r="E2" s="185"/>
      <c r="F2" s="185"/>
      <c r="M2">
        <f>'BDD unique'!A15</f>
        <v>2</v>
      </c>
      <c r="N2" t="str">
        <f>'BDD unique'!B15</f>
        <v>BMW série 3</v>
      </c>
      <c r="O2" t="str">
        <f t="shared" ref="O2" si="0"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 t="shared" ref="T2" si="1">CONCATENATE(Q2," : ",R2," ",S2)</f>
        <v>7 : Faure Michel</v>
      </c>
    </row>
    <row r="3" spans="1:20">
      <c r="A3" s="189" t="s">
        <v>128</v>
      </c>
      <c r="B3" s="189"/>
      <c r="C3" s="189"/>
      <c r="D3" s="189"/>
      <c r="E3" s="189"/>
      <c r="F3" s="189"/>
      <c r="G3" s="189"/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5" spans="1:20">
      <c r="C5" s="119" t="s">
        <v>129</v>
      </c>
      <c r="D5" s="119" t="s">
        <v>122</v>
      </c>
    </row>
    <row r="6" spans="1:20">
      <c r="C6" s="67" t="str">
        <f>T1</f>
        <v>6 : Vaillant Paul</v>
      </c>
      <c r="D6" s="67">
        <f>SUMIF(Vente!D:D,Décisionnel!Q1,Vente!C:C)</f>
        <v>46</v>
      </c>
    </row>
    <row r="7" spans="1:20">
      <c r="C7" s="67" t="str">
        <f>T2</f>
        <v>7 : Faure Michel</v>
      </c>
      <c r="D7" s="67">
        <f>SUMIF(Vente!D:D,Décisionnel!Q2,Vente!C:C)</f>
        <v>16</v>
      </c>
    </row>
    <row r="8" spans="1:20">
      <c r="C8" s="67" t="str">
        <f>T3</f>
        <v>8 : Huster Françis</v>
      </c>
      <c r="D8" s="67">
        <f>SUMIF(Vente!D:D,Décisionnel!Q3,Vente!C:C)</f>
        <v>25</v>
      </c>
    </row>
    <row r="26" spans="1:7">
      <c r="A26" s="189" t="s">
        <v>131</v>
      </c>
      <c r="B26" s="189"/>
      <c r="C26" s="189"/>
      <c r="D26" s="189"/>
      <c r="E26" s="189"/>
      <c r="F26" s="189"/>
      <c r="G26" s="189"/>
    </row>
    <row r="28" spans="1:7">
      <c r="C28" s="119" t="s">
        <v>132</v>
      </c>
      <c r="D28" s="119" t="s">
        <v>122</v>
      </c>
    </row>
    <row r="29" spans="1:7">
      <c r="C29" s="67" t="str">
        <f>O1</f>
        <v>1 : Peugeot 406</v>
      </c>
      <c r="D29" s="67">
        <f>SUMIF(Vente!B:B,Décisionnel!M1,Vente!C:C)</f>
        <v>36</v>
      </c>
    </row>
    <row r="30" spans="1:7">
      <c r="C30" s="67" t="str">
        <f t="shared" ref="C30:C32" si="2">O2</f>
        <v>2 : BMW série 3</v>
      </c>
      <c r="D30" s="67">
        <f>SUMIF(Vente!B:B,Décisionnel!M2,Vente!C:C)</f>
        <v>8</v>
      </c>
    </row>
    <row r="31" spans="1:7">
      <c r="C31" s="67" t="str">
        <f t="shared" si="2"/>
        <v>3 : Renault mégane</v>
      </c>
      <c r="D31" s="67">
        <f>SUMIF(Vente!B:B,Décisionnel!M3,Vente!C:C)</f>
        <v>20</v>
      </c>
    </row>
    <row r="32" spans="1:7">
      <c r="C32" s="67" t="str">
        <f t="shared" si="2"/>
        <v>4 : Renault clio</v>
      </c>
      <c r="D32" s="67">
        <f>SUMIF(Vente!B:B,Décisionnel!M4,Vente!C:C)</f>
        <v>23</v>
      </c>
    </row>
    <row r="50" spans="1:7">
      <c r="A50" s="189" t="s">
        <v>138</v>
      </c>
      <c r="B50" s="189"/>
      <c r="C50" s="189"/>
      <c r="D50" s="189"/>
      <c r="E50" s="189"/>
      <c r="F50" s="189"/>
      <c r="G50" s="189"/>
    </row>
    <row r="52" spans="1:7" ht="28">
      <c r="A52" s="119" t="s">
        <v>132</v>
      </c>
      <c r="B52" s="119" t="s">
        <v>133</v>
      </c>
      <c r="C52" s="119" t="s">
        <v>134</v>
      </c>
      <c r="D52" s="120" t="s">
        <v>135</v>
      </c>
      <c r="E52" s="120" t="s">
        <v>136</v>
      </c>
      <c r="F52" s="120" t="s">
        <v>137</v>
      </c>
    </row>
    <row r="53" spans="1:7">
      <c r="A53" s="67" t="str">
        <f>O1</f>
        <v>1 : Peugeot 406</v>
      </c>
      <c r="B53" s="83">
        <f>'BDD unique'!D14</f>
        <v>19000</v>
      </c>
      <c r="C53" s="83">
        <f>'BDD unique'!C14</f>
        <v>21000</v>
      </c>
      <c r="D53" s="83">
        <f>C53-B53</f>
        <v>2000</v>
      </c>
      <c r="E53" s="83">
        <f>Stock!D7</f>
        <v>36</v>
      </c>
      <c r="F53" s="83">
        <f>E53*D53</f>
        <v>72000</v>
      </c>
    </row>
    <row r="54" spans="1:7">
      <c r="A54" s="67" t="str">
        <f>O2</f>
        <v>2 : BMW série 3</v>
      </c>
      <c r="B54" s="83">
        <f>'BDD unique'!D15</f>
        <v>31000</v>
      </c>
      <c r="C54" s="83">
        <f>'BDD unique'!C15</f>
        <v>32000</v>
      </c>
      <c r="D54" s="83">
        <f t="shared" ref="D54:D56" si="3">C54-B54</f>
        <v>1000</v>
      </c>
      <c r="E54" s="83">
        <f>Stock!D8</f>
        <v>8</v>
      </c>
      <c r="F54" s="83">
        <f t="shared" ref="F54:F56" si="4">E54*D54</f>
        <v>8000</v>
      </c>
    </row>
    <row r="55" spans="1:7">
      <c r="A55" s="67" t="str">
        <f>O3</f>
        <v>3 : Renault mégane</v>
      </c>
      <c r="B55" s="83">
        <f>'BDD unique'!D16</f>
        <v>12000</v>
      </c>
      <c r="C55" s="83">
        <f>'BDD unique'!C16</f>
        <v>15000</v>
      </c>
      <c r="D55" s="83">
        <f t="shared" si="3"/>
        <v>3000</v>
      </c>
      <c r="E55" s="83">
        <f>Stock!D9</f>
        <v>20</v>
      </c>
      <c r="F55" s="83">
        <f t="shared" si="4"/>
        <v>60000</v>
      </c>
    </row>
    <row r="56" spans="1:7">
      <c r="A56" s="67" t="str">
        <f>O4</f>
        <v>4 : Renault clio</v>
      </c>
      <c r="B56" s="83">
        <f>'BDD unique'!D17</f>
        <v>7000</v>
      </c>
      <c r="C56" s="83">
        <f>'BDD unique'!C17</f>
        <v>10000</v>
      </c>
      <c r="D56" s="83">
        <f t="shared" si="3"/>
        <v>3000</v>
      </c>
      <c r="E56" s="83">
        <f>Stock!D10</f>
        <v>23</v>
      </c>
      <c r="F56" s="83">
        <f t="shared" si="4"/>
        <v>69000</v>
      </c>
    </row>
  </sheetData>
  <mergeCells count="5">
    <mergeCell ref="A2:F2"/>
    <mergeCell ref="A1:G1"/>
    <mergeCell ref="A3:G3"/>
    <mergeCell ref="A26:G26"/>
    <mergeCell ref="A50:G50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BDD unique</vt:lpstr>
      <vt:lpstr>fiche de paye</vt:lpstr>
      <vt:lpstr>Vente</vt:lpstr>
      <vt:lpstr>Achat</vt:lpstr>
      <vt:lpstr>Stock</vt:lpstr>
      <vt:lpstr>Finance</vt:lpstr>
      <vt:lpstr>Décisionnel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Anis CHERGUI</cp:lastModifiedBy>
  <dcterms:created xsi:type="dcterms:W3CDTF">2015-09-22T16:55:53Z</dcterms:created>
  <dcterms:modified xsi:type="dcterms:W3CDTF">2022-03-25T16:34:37Z</dcterms:modified>
</cp:coreProperties>
</file>